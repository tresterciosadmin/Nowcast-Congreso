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xmlns:r="http://schemas.openxmlformats.org/officeDocument/2006/relationships" name="RESUMEN " sheetId="1" state="visible" r:id="rId1"/>
    <sheet xmlns:r="http://schemas.openxmlformats.org/officeDocument/2006/relationships" name="Diputados" sheetId="2" state="visible" r:id="rId2"/>
    <sheet xmlns:r="http://schemas.openxmlformats.org/officeDocument/2006/relationships" name="Senado" sheetId="3" state="visible" r:id="rId3"/>
    <sheet xmlns:r="http://schemas.openxmlformats.org/officeDocument/2006/relationships" name="APOYO" sheetId="4" state="visible" r:id="rId4"/>
  </sheets>
  <definedNames>
    <definedName name="_xlnm._FilterDatabase" localSheetId="1" hidden="1">'Diputados'!$A$1:$L$258</definedName>
    <definedName name="_xlnm._FilterDatabase" localSheetId="2" hidden="1">'Senado'!$A$1:$AA$73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</font>
    <font>
      <name val="Calibri"/>
      <family val="2"/>
      <color indexed="8"/>
      <sz val="11"/>
    </font>
    <font>
      <name val="Segoe UI"/>
      <family val="2"/>
      <color theme="1"/>
      <sz val="11"/>
    </font>
    <font>
      <name val="Calibri"/>
      <family val="2"/>
      <sz val="11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5" fillId="0" borderId="0"/>
    <xf numFmtId="0" fontId="3" fillId="0" borderId="0"/>
    <xf numFmtId="0" fontId="5" fillId="0" borderId="0"/>
  </cellStyleXfs>
  <cellXfs count="18">
    <xf numFmtId="0" fontId="0" fillId="0" borderId="0" pivotButton="0" quotePrefix="0" xfId="0"/>
    <xf numFmtId="14" fontId="0" fillId="0" borderId="0" pivotButton="0" quotePrefix="0" xfId="0"/>
    <xf numFmtId="0" fontId="1" fillId="0" borderId="0" pivotButton="0" quotePrefix="0" xfId="0"/>
    <xf numFmtId="0" fontId="2" fillId="0" borderId="0" pivotButton="0" quotePrefix="0" xfId="1"/>
    <xf numFmtId="0" fontId="3" fillId="0" borderId="0" pivotButton="0" quotePrefix="0" xfId="2"/>
    <xf numFmtId="0" fontId="1" fillId="2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wrapText="1"/>
    </xf>
    <xf numFmtId="0" fontId="4" fillId="0" borderId="0" applyAlignment="1" pivotButton="0" quotePrefix="0" xfId="0">
      <alignment vertical="center"/>
    </xf>
    <xf numFmtId="0" fontId="5" fillId="0" borderId="0" pivotButton="0" quotePrefix="0" xfId="3"/>
    <xf numFmtId="0" fontId="0" fillId="0" borderId="2" applyAlignment="1" pivotButton="0" quotePrefix="0" xfId="0">
      <alignment vertical="center"/>
    </xf>
    <xf numFmtId="0" fontId="0" fillId="0" borderId="1" pivotButton="0" quotePrefix="0" xfId="0"/>
    <xf numFmtId="0" fontId="0" fillId="0" borderId="2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wrapText="1"/>
    </xf>
    <xf numFmtId="0" fontId="2" fillId="0" borderId="0" pivotButton="0" quotePrefix="0" xfId="1"/>
    <xf numFmtId="0" fontId="2" fillId="0" borderId="0" pivotButton="0" quotePrefix="0" xfId="1"/>
    <xf numFmtId="0" fontId="2" fillId="0" borderId="0" pivotButton="0" quotePrefix="0" xfId="1"/>
  </cellXfs>
  <cellStyles count="4">
    <cellStyle name="Normal" xfId="0" builtinId="0"/>
    <cellStyle name="Normal 2" xfId="1"/>
    <cellStyle name="Normal 3" xfId="2"/>
    <cellStyle name="Normal 4" xfId="3"/>
  </cellStyles>
  <dxfs count="4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theme="1" tint="0.499984740745262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7"/>
  <sheetViews>
    <sheetView workbookViewId="0">
      <selection activeCell="T11" sqref="T11"/>
    </sheetView>
  </sheetViews>
  <sheetFormatPr baseColWidth="10" defaultRowHeight="15"/>
  <cols>
    <col hidden="1" width="16.7109375" customWidth="1" min="3" max="3"/>
    <col hidden="1" width="18.28515625" customWidth="1" min="4" max="4"/>
    <col hidden="1" width="24.5703125" customWidth="1" min="5" max="5"/>
    <col hidden="1" width="24.85546875" customWidth="1" min="6" max="6"/>
    <col hidden="1" width="12.5703125" customWidth="1" min="7" max="7"/>
    <col hidden="1" width="27.5703125" customWidth="1" min="8" max="8"/>
    <col hidden="1" width="21.5703125" customWidth="1" min="9" max="9"/>
    <col hidden="1" min="17" max="17"/>
  </cols>
  <sheetData>
    <row r="1">
      <c r="A1" s="14" t="inlineStr">
        <is>
          <t>Tema que trata la ley</t>
        </is>
      </c>
      <c r="C1" t="inlineStr">
        <is>
          <t>Económico/Fiscal</t>
        </is>
      </c>
      <c r="D1" t="inlineStr">
        <is>
          <t>Económico/Fiscal</t>
        </is>
      </c>
      <c r="E1" t="inlineStr">
        <is>
          <t>Económico/Fiscal</t>
        </is>
      </c>
      <c r="F1" t="inlineStr">
        <is>
          <t>Laboral</t>
        </is>
      </c>
      <c r="G1" t="inlineStr">
        <is>
          <t>Ambiente</t>
        </is>
      </c>
      <c r="H1" t="inlineStr">
        <is>
          <t>Judicial</t>
        </is>
      </c>
      <c r="I1" t="inlineStr">
        <is>
          <t>Acuerdo internacional</t>
        </is>
      </c>
      <c r="J1" t="inlineStr">
        <is>
          <t>Educación</t>
        </is>
      </c>
      <c r="K1" t="inlineStr">
        <is>
          <t>Desregulación</t>
        </is>
      </c>
      <c r="L1" t="inlineStr">
        <is>
          <t>Político</t>
        </is>
      </c>
      <c r="M1" t="inlineStr">
        <is>
          <t>Económico/Fiscal</t>
        </is>
      </c>
      <c r="N1" t="inlineStr">
        <is>
          <t>Acuerdo internacional</t>
        </is>
      </c>
      <c r="O1" t="inlineStr">
        <is>
          <t>Político</t>
        </is>
      </c>
      <c r="P1" t="inlineStr">
        <is>
          <t>Económico/Fiscal</t>
        </is>
      </c>
      <c r="Q1" t="inlineStr">
        <is>
          <t>Económico/Fiscal</t>
        </is>
      </c>
    </row>
    <row r="2">
      <c r="C2" s="2" t="inlineStr">
        <is>
          <t>Presupuesto 2026</t>
        </is>
      </c>
      <c r="D2" s="2" t="inlineStr">
        <is>
          <t>Ley Inocencia Fiscal</t>
        </is>
      </c>
      <c r="E2" s="2" t="inlineStr">
        <is>
          <t xml:space="preserve">Ley Compromiso Nacional </t>
        </is>
      </c>
      <c r="F2" s="2" t="inlineStr">
        <is>
          <t>Ley Modernización Laboral</t>
        </is>
      </c>
      <c r="G2" s="2" t="inlineStr">
        <is>
          <t>Ley Glaciares</t>
        </is>
      </c>
      <c r="H2" s="2" t="inlineStr">
        <is>
          <t>Ley de Régimen Penal Juvenil</t>
        </is>
      </c>
      <c r="I2" s="2" t="inlineStr">
        <is>
          <t>Acuerdo UE - Mercosur</t>
        </is>
      </c>
      <c r="J2" s="2" t="inlineStr">
        <is>
          <t>Financiamiento Universitario</t>
        </is>
      </c>
      <c r="K2" s="2" t="inlineStr">
        <is>
          <t>Ley Hojarasca</t>
        </is>
      </c>
      <c r="L2" s="2" t="inlineStr">
        <is>
          <t>Reforma Electoral</t>
        </is>
      </c>
      <c r="M2" s="2" t="inlineStr">
        <is>
          <t>Régimen Zonas Frías</t>
        </is>
      </c>
      <c r="N2" s="2" t="inlineStr">
        <is>
          <t>Patentes (PCT)</t>
        </is>
      </c>
      <c r="O2" s="2" t="inlineStr">
        <is>
          <t>Ley de Lobby</t>
        </is>
      </c>
      <c r="P2" s="2" t="inlineStr">
        <is>
          <t>Super RIGI</t>
        </is>
      </c>
      <c r="Q2" s="2" t="inlineStr">
        <is>
          <t>CONCILIACIÓN E/ LA REP. ARG. Y BAINBRIDGE LTD. Y E/ LA REP. ARG. Y EL GRUPO DE ACREED. ENCABEZADO POR ATTESTOR VMF</t>
        </is>
      </c>
    </row>
    <row r="3">
      <c r="A3" s="13" t="inlineStr">
        <is>
          <t>Diputados</t>
        </is>
      </c>
      <c r="B3" t="inlineStr">
        <is>
          <t>Afirmativo</t>
        </is>
      </c>
      <c r="C3">
        <f>COUNTIF(Diputados!I:I,'RESUMEN '!$B$3)</f>
        <v/>
      </c>
      <c r="D3">
        <f>COUNTIF(Diputados!J:J,'RESUMEN '!$B$3)</f>
        <v/>
      </c>
      <c r="E3">
        <f>COUNTIF(Diputados!K:K,'RESUMEN '!$B$3)</f>
        <v/>
      </c>
      <c r="F3">
        <f>COUNTIF(Diputados!L:L,'RESUMEN '!$B$3)</f>
        <v/>
      </c>
      <c r="G3">
        <f>COUNTIF(Diputados!M:M,'RESUMEN '!$B$3)</f>
        <v/>
      </c>
      <c r="H3">
        <f>COUNTIF(Diputados!N:N,'RESUMEN '!$B$3)</f>
        <v/>
      </c>
      <c r="I3">
        <f>COUNTIF(Diputados!O:O,'RESUMEN '!$B$3)</f>
        <v/>
      </c>
      <c r="J3">
        <f>COUNTIF(Diputados!P:P,'RESUMEN '!$B$3)</f>
        <v/>
      </c>
      <c r="K3">
        <f>COUNTIF(Diputados!Q:Q,'RESUMEN '!$B$3)</f>
        <v/>
      </c>
      <c r="L3">
        <f>COUNTIF(Diputados!R:R,'RESUMEN '!$B$3)</f>
        <v/>
      </c>
      <c r="M3">
        <f>COUNTIF(Diputados!S:S,'RESUMEN '!$B$3)</f>
        <v/>
      </c>
      <c r="N3">
        <f>COUNTIF(Diputados!T:T,'RESUMEN '!$B$3)</f>
        <v/>
      </c>
      <c r="O3">
        <f>COUNTIF(Diputados!U:U,'RESUMEN '!$B$3)</f>
        <v/>
      </c>
      <c r="P3">
        <f>COUNTIF(Diputados!V:V,'RESUMEN '!$B$3)</f>
        <v/>
      </c>
      <c r="Q3">
        <f>COUNTIF(Diputados!W:W,'RESUMEN '!$B$3)</f>
        <v/>
      </c>
    </row>
    <row r="4">
      <c r="B4" t="inlineStr">
        <is>
          <t>Abstención</t>
        </is>
      </c>
      <c r="C4">
        <f>COUNTIF(Diputados!I:I,'RESUMEN '!$B$4)</f>
        <v/>
      </c>
      <c r="D4">
        <f>COUNTIF(Diputados!J:J,'RESUMEN '!$B$4)</f>
        <v/>
      </c>
      <c r="E4">
        <f>COUNTIF(Diputados!K:K,'RESUMEN '!$B$4)</f>
        <v/>
      </c>
      <c r="F4">
        <f>COUNTIF(Diputados!L:L,'RESUMEN '!$B$4)</f>
        <v/>
      </c>
      <c r="G4">
        <f>COUNTIF(Diputados!M:M,'RESUMEN '!$B$4)</f>
        <v/>
      </c>
      <c r="H4">
        <f>COUNTIF(Diputados!N:N,'RESUMEN '!$B$4)</f>
        <v/>
      </c>
      <c r="I4">
        <f>COUNTIF(Diputados!O:O,'RESUMEN '!$B$4)</f>
        <v/>
      </c>
      <c r="J4">
        <f>COUNTIF(Diputados!P:P,'RESUMEN '!$B$4)</f>
        <v/>
      </c>
      <c r="K4">
        <f>COUNTIF(Diputados!Q:Q,'RESUMEN '!$B$4)</f>
        <v/>
      </c>
      <c r="L4">
        <f>COUNTIF(Diputados!R:R,'RESUMEN '!$B$4)</f>
        <v/>
      </c>
      <c r="M4">
        <f>COUNTIF(Diputados!S:S,'RESUMEN '!$B$4)</f>
        <v/>
      </c>
      <c r="N4">
        <f>COUNTIF(Diputados!T:T,'RESUMEN '!$B$4)</f>
        <v/>
      </c>
      <c r="O4">
        <f>COUNTIF(Diputados!U:U,'RESUMEN '!$B$4)</f>
        <v/>
      </c>
      <c r="P4">
        <f>COUNTIF(Diputados!V:V,'RESUMEN '!$B$4)</f>
        <v/>
      </c>
      <c r="Q4">
        <f>COUNTIF(Diputados!W:W,'RESUMEN '!$B$4)</f>
        <v/>
      </c>
    </row>
    <row r="5">
      <c r="B5" t="inlineStr">
        <is>
          <t>Ausente</t>
        </is>
      </c>
      <c r="C5">
        <f>COUNTIF(Diputados!I:I,$B$5)</f>
        <v/>
      </c>
      <c r="D5">
        <f>COUNTIF(Diputados!J:J,$B$5)</f>
        <v/>
      </c>
      <c r="E5">
        <f>COUNTIF(Diputados!K:K,$B$5)</f>
        <v/>
      </c>
      <c r="F5">
        <f>COUNTIF(Diputados!L:L,$B$5)</f>
        <v/>
      </c>
      <c r="G5">
        <f>COUNTIF(Diputados!M:M,$B$5)</f>
        <v/>
      </c>
      <c r="H5">
        <f>COUNTIF(Diputados!N:N,$B$5)</f>
        <v/>
      </c>
      <c r="I5">
        <f>COUNTIF(Diputados!O:O,$B$5)</f>
        <v/>
      </c>
      <c r="J5">
        <f>COUNTIF(Diputados!P:P,$B$5)</f>
        <v/>
      </c>
      <c r="K5">
        <f>COUNTIF(Diputados!Q:Q,$B$5)</f>
        <v/>
      </c>
      <c r="L5">
        <f>COUNTIF(Diputados!R:R,$B$5)</f>
        <v/>
      </c>
      <c r="M5">
        <f>COUNTIF(Diputados!S:S,$B$5)</f>
        <v/>
      </c>
      <c r="N5">
        <f>COUNTIF(Diputados!T:T,$B$5)</f>
        <v/>
      </c>
      <c r="O5">
        <f>COUNTIF(Diputados!U:U,$B$5)</f>
        <v/>
      </c>
      <c r="P5">
        <f>COUNTIF(Diputados!V:V,$B$5)</f>
        <v/>
      </c>
      <c r="Q5">
        <f>COUNTIF(Diputados!W:W,$B$5)</f>
        <v/>
      </c>
    </row>
    <row r="6">
      <c r="B6" t="inlineStr">
        <is>
          <t>Pendiente de incorporación</t>
        </is>
      </c>
      <c r="C6">
        <f>COUNTIF(Diputados!I:I,$B$6)</f>
        <v/>
      </c>
      <c r="D6">
        <f>COUNTIF(Diputados!J:J,$B$6)</f>
        <v/>
      </c>
      <c r="E6">
        <f>COUNTIF(Diputados!K:K,$B$6)</f>
        <v/>
      </c>
      <c r="F6">
        <f>COUNTIF(Diputados!L:L,$B$6)</f>
        <v/>
      </c>
      <c r="G6">
        <f>COUNTIF(Diputados!M:M,$B$6)</f>
        <v/>
      </c>
      <c r="H6">
        <f>COUNTIF(Diputados!N:N,$B$6)</f>
        <v/>
      </c>
      <c r="I6">
        <f>COUNTIF(Diputados!O:O,$B$6)</f>
        <v/>
      </c>
      <c r="J6">
        <f>COUNTIF(Diputados!P:P,$B$6)</f>
        <v/>
      </c>
      <c r="K6">
        <f>COUNTIF(Diputados!Q:Q,$B$6)</f>
        <v/>
      </c>
      <c r="L6">
        <f>COUNTIF(Diputados!R:R,$B$6)</f>
        <v/>
      </c>
      <c r="M6">
        <f>COUNTIF(Diputados!S:S,$B$6)</f>
        <v/>
      </c>
      <c r="N6">
        <f>COUNTIF(Diputados!T:T,$B$6)</f>
        <v/>
      </c>
      <c r="O6">
        <f>COUNTIF(Diputados!U:U,$B$6)</f>
        <v/>
      </c>
      <c r="P6">
        <f>COUNTIF(Diputados!V:V,$B$6)</f>
        <v/>
      </c>
      <c r="Q6">
        <f>COUNTIF(Diputados!W:W,$B$6)</f>
        <v/>
      </c>
    </row>
    <row r="7">
      <c r="B7" t="inlineStr">
        <is>
          <t>Presidente</t>
        </is>
      </c>
      <c r="C7">
        <f>COUNTIF(Diputados!I:I,$B$7)</f>
        <v/>
      </c>
      <c r="D7">
        <f>COUNTIF(Diputados!J:J,$B$7)</f>
        <v/>
      </c>
      <c r="E7">
        <f>COUNTIF(Diputados!K:K,$B$7)</f>
        <v/>
      </c>
      <c r="F7">
        <f>COUNTIF(Diputados!L:L,$B$7)</f>
        <v/>
      </c>
      <c r="G7">
        <f>COUNTIF(Diputados!M:M,$B$7)</f>
        <v/>
      </c>
      <c r="H7">
        <f>COUNTIF(Diputados!N:N,$B$7)</f>
        <v/>
      </c>
      <c r="I7">
        <f>COUNTIF(Diputados!O:O,$B$7)</f>
        <v/>
      </c>
      <c r="J7">
        <f>COUNTIF(Diputados!P:P,$B$7)</f>
        <v/>
      </c>
      <c r="K7">
        <f>COUNTIF(Diputados!Q:Q,$B$7)</f>
        <v/>
      </c>
      <c r="L7">
        <f>COUNTIF(Diputados!R:R,$B$7)</f>
        <v/>
      </c>
      <c r="M7">
        <f>COUNTIF(Diputados!S:S,$B$7)</f>
        <v/>
      </c>
      <c r="N7">
        <f>COUNTIF(Diputados!T:T,$B$7)</f>
        <v/>
      </c>
      <c r="O7">
        <f>COUNTIF(Diputados!U:U,$B$7)</f>
        <v/>
      </c>
      <c r="P7">
        <f>COUNTIF(Diputados!V:V,$B$7)</f>
        <v/>
      </c>
      <c r="Q7">
        <f>COUNTIF(Diputados!W:W,$B$7)</f>
        <v/>
      </c>
    </row>
    <row r="8">
      <c r="B8" t="inlineStr">
        <is>
          <t>Negativo</t>
        </is>
      </c>
      <c r="C8">
        <f>COUNTIF(Diputados!I:I,'RESUMEN '!$B$8)</f>
        <v/>
      </c>
      <c r="D8">
        <f>COUNTIF(Diputados!J:J,'RESUMEN '!$B$8)</f>
        <v/>
      </c>
      <c r="E8">
        <f>COUNTIF(Diputados!K:K,'RESUMEN '!$B$8)</f>
        <v/>
      </c>
      <c r="F8">
        <f>COUNTIF(Diputados!L:L,'RESUMEN '!$B$8)</f>
        <v/>
      </c>
      <c r="G8">
        <f>COUNTIF(Diputados!M:M,'RESUMEN '!$B$8)</f>
        <v/>
      </c>
      <c r="H8">
        <f>COUNTIF(Diputados!N:N,'RESUMEN '!$B$8)</f>
        <v/>
      </c>
      <c r="I8">
        <f>COUNTIF(Diputados!O:O,'RESUMEN '!$B$8)</f>
        <v/>
      </c>
      <c r="J8">
        <f>COUNTIF(Diputados!P:P,'RESUMEN '!$B$8)</f>
        <v/>
      </c>
      <c r="K8">
        <f>COUNTIF(Diputados!Q:Q,'RESUMEN '!$B$8)</f>
        <v/>
      </c>
      <c r="L8">
        <f>COUNTIF(Diputados!R:R,'RESUMEN '!$B$8)</f>
        <v/>
      </c>
      <c r="M8">
        <f>COUNTIF(Diputados!S:S,'RESUMEN '!$B$8)</f>
        <v/>
      </c>
      <c r="N8">
        <f>COUNTIF(Diputados!T:T,'RESUMEN '!$B$8)</f>
        <v/>
      </c>
      <c r="O8">
        <f>COUNTIF(Diputados!U:U,'RESUMEN '!$B$8)</f>
        <v/>
      </c>
      <c r="P8">
        <f>COUNTIF(Diputados!V:V,'RESUMEN '!$B$8)</f>
        <v/>
      </c>
      <c r="Q8">
        <f>COUNTIF(Diputados!W:W,'RESUMEN '!$B$8)</f>
        <v/>
      </c>
    </row>
    <row r="9">
      <c r="A9" s="13" t="inlineStr">
        <is>
          <t>Senadores</t>
        </is>
      </c>
      <c r="B9" t="inlineStr">
        <is>
          <t>Afirmativo</t>
        </is>
      </c>
      <c r="C9">
        <f>COUNTIF(Senado!R:R,'RESUMEN '!$B$9)</f>
        <v/>
      </c>
      <c r="D9">
        <f>COUNTIF(Senado!S:S,'RESUMEN '!$B$9)</f>
        <v/>
      </c>
      <c r="E9">
        <f>COUNTIF(Senado!T:T,'RESUMEN '!$B$9)</f>
        <v/>
      </c>
      <c r="F9">
        <f>COUNTIF(Senado!U:U,'RESUMEN '!$B$9)</f>
        <v/>
      </c>
      <c r="G9">
        <f>COUNTIF(Senado!V:V,'RESUMEN '!$B$9)</f>
        <v/>
      </c>
      <c r="H9">
        <f>COUNTIF(Senado!W:W,'RESUMEN '!$B$9)</f>
        <v/>
      </c>
      <c r="I9">
        <f>COUNTIF(Senado!X:X,'RESUMEN '!$B$9)</f>
        <v/>
      </c>
      <c r="J9">
        <f>COUNTIF(Senado!Y:Y,'RESUMEN '!$B$9)</f>
        <v/>
      </c>
      <c r="K9">
        <f>COUNTIF(Senado!Z:Z,'RESUMEN '!$B$9)</f>
        <v/>
      </c>
      <c r="L9">
        <f>COUNTIF(Senado!AA:AA,'RESUMEN '!$B$9)</f>
        <v/>
      </c>
      <c r="M9">
        <f>COUNTIF(Senado!AB:AB,'RESUMEN '!$B$9)</f>
        <v/>
      </c>
      <c r="N9">
        <f>COUNTIF(Senado!AC:AC,'RESUMEN '!$B$9)</f>
        <v/>
      </c>
      <c r="O9">
        <f>COUNTIF(Senado!AD:AD,'RESUMEN '!$B$9)</f>
        <v/>
      </c>
      <c r="P9">
        <f>COUNTIF(Senado!AE:AE,'RESUMEN '!$B$9)</f>
        <v/>
      </c>
      <c r="Q9">
        <f>COUNTIF(Senado!AF:AF,'RESUMEN '!$B$9)</f>
        <v/>
      </c>
    </row>
    <row r="10">
      <c r="B10" t="inlineStr">
        <is>
          <t>Abstención</t>
        </is>
      </c>
      <c r="C10">
        <f>COUNTIF(Senado!R:R,'RESUMEN '!$B$10)</f>
        <v/>
      </c>
      <c r="D10">
        <f>COUNTIF(Senado!S:S,'RESUMEN '!$B$10)</f>
        <v/>
      </c>
      <c r="E10">
        <f>COUNTIF(Senado!T:T,'RESUMEN '!$B$10)</f>
        <v/>
      </c>
      <c r="F10">
        <f>COUNTIF(Senado!U:U,'RESUMEN '!$B$10)</f>
        <v/>
      </c>
      <c r="G10">
        <f>COUNTIF(Senado!V:V,'RESUMEN '!$B$10)</f>
        <v/>
      </c>
      <c r="H10">
        <f>COUNTIF(Senado!W:W,'RESUMEN '!$B$10)</f>
        <v/>
      </c>
      <c r="I10">
        <f>COUNTIF(Senado!X:X,'RESUMEN '!$B$10)</f>
        <v/>
      </c>
      <c r="J10">
        <f>COUNTIF(Senado!Y:Y,'RESUMEN '!$B$10)</f>
        <v/>
      </c>
      <c r="K10">
        <f>COUNTIF(Senado!Z:Z,'RESUMEN '!$B$10)</f>
        <v/>
      </c>
      <c r="L10">
        <f>COUNTIF(Senado!AA:AA,'RESUMEN '!$B$10)</f>
        <v/>
      </c>
      <c r="M10">
        <f>COUNTIF(Senado!AB:AB,'RESUMEN '!$B$10)</f>
        <v/>
      </c>
      <c r="N10">
        <f>COUNTIF(Senado!AC:AC,'RESUMEN '!$B$10)</f>
        <v/>
      </c>
      <c r="O10">
        <f>COUNTIF(Senado!AD:AD,'RESUMEN '!$B$10)</f>
        <v/>
      </c>
      <c r="P10">
        <f>COUNTIF(Senado!AE:AE,'RESUMEN '!$B$10)</f>
        <v/>
      </c>
      <c r="Q10">
        <f>COUNTIF(Senado!AF:AF,'RESUMEN '!$B$10)</f>
        <v/>
      </c>
    </row>
    <row r="11">
      <c r="B11" t="inlineStr">
        <is>
          <t>Negativo</t>
        </is>
      </c>
      <c r="C11">
        <f>COUNTIF(Senado!R:R,'RESUMEN '!$B$11)</f>
        <v/>
      </c>
      <c r="D11">
        <f>COUNTIF(Senado!S:S,'RESUMEN '!$B$11)</f>
        <v/>
      </c>
      <c r="E11">
        <f>COUNTIF(Senado!T:T,'RESUMEN '!$B$11)</f>
        <v/>
      </c>
      <c r="F11">
        <f>COUNTIF(Senado!U:U,'RESUMEN '!$B$11)</f>
        <v/>
      </c>
      <c r="G11">
        <f>COUNTIF(Senado!V:V,'RESUMEN '!$B$11)</f>
        <v/>
      </c>
      <c r="H11">
        <f>COUNTIF(Senado!W:W,'RESUMEN '!$B$11)</f>
        <v/>
      </c>
      <c r="I11">
        <f>COUNTIF(Senado!X:X,'RESUMEN '!$B$11)</f>
        <v/>
      </c>
      <c r="J11">
        <f>COUNTIF(Senado!Y:Y,'RESUMEN '!$B$11)</f>
        <v/>
      </c>
      <c r="K11">
        <f>COUNTIF(Senado!Z:Z,'RESUMEN '!$B$11)</f>
        <v/>
      </c>
      <c r="L11">
        <f>COUNTIF(Senado!AA:AA,'RESUMEN '!$B$11)</f>
        <v/>
      </c>
      <c r="M11">
        <f>COUNTIF(Senado!AB:AB,'RESUMEN '!$B$11)</f>
        <v/>
      </c>
      <c r="N11">
        <f>COUNTIF(Senado!AC:AC,'RESUMEN '!$B$11)</f>
        <v/>
      </c>
      <c r="O11">
        <f>COUNTIF(Senado!AD:AD,'RESUMEN '!$B$11)</f>
        <v/>
      </c>
      <c r="P11">
        <f>COUNTIF(Senado!AE:AE,'RESUMEN '!$B$11)</f>
        <v/>
      </c>
      <c r="Q11">
        <f>COUNTIF(Senado!AF:AF,'RESUMEN '!$B$11)</f>
        <v/>
      </c>
    </row>
    <row r="13" ht="13.5" customFormat="1" customHeight="1" s="2">
      <c r="B13" s="2" t="inlineStr">
        <is>
          <t>Estado</t>
        </is>
      </c>
      <c r="C13" s="7">
        <f>IF(AND(C3&gt;(257/2),C9&gt;(72/2)),"Aprobado",IF(OR(AND(C3=0,C9&gt;(72/2)),AND(C9=0,C3&gt;(257/2))),"Media sanción",IF(SUM(C3:C11)=0,"No Tratado","Rechazado")))</f>
        <v/>
      </c>
      <c r="D13" s="7">
        <f>IF(AND(D3&gt;(257/2),D9&gt;(72/2)),"Aprobado",IF(OR(AND(D3=0,D9&gt;(72/2)),AND(D9=0,D3&gt;(257/2))),"Media sanción",IF(SUM(D3:D11)=0,"No Tratado","Rechazado")))</f>
        <v/>
      </c>
      <c r="E13" s="7">
        <f>IF(AND(E3&gt;(257/2),E9&gt;(72/2)),"Aprobado",IF(OR(AND(E3=0,E9&gt;(72/2)),AND(E9=0,E3&gt;(257/2))),"Media sanción",IF(SUM(E3:E11)=0,"No Tratado","Rechazado")))</f>
        <v/>
      </c>
      <c r="F13" s="7">
        <f>IF(AND(F3&gt;(257/2),F9&gt;(72/2)),"Aprobado",IF(OR(AND(F3=0,F9&gt;(72/2)),AND(F9=0,F3&gt;(257/2))),"Media sanción",IF(SUM(F3:F11)=0,"No Tratado","Rechazado")))</f>
        <v/>
      </c>
      <c r="G13" s="7">
        <f>IF(AND(G3&gt;(257/2),G9&gt;(72/2)),"Aprobado",IF(OR(AND(G3=0,G9&gt;(72/2)),AND(G9=0,G3&gt;(257/2))),"Media sanción",IF(SUM(G3:G11)=0,"No Tratado","Rechazado")))</f>
        <v/>
      </c>
      <c r="H13" s="7">
        <f>IF(AND(H3&gt;(257/2),H9&gt;(72/2)),"Aprobado",IF(OR(AND(H3=0,H9&gt;(72/2)),AND(H9=0,H3&gt;(257/2))),"Media sanción",IF(SUM(H3:H11)=0,"No Tratado","Rechazado")))</f>
        <v/>
      </c>
      <c r="I13" s="7">
        <f>IF(AND(I3&gt;(257/2),I9&gt;(72/2)),"Aprobado",IF(OR(AND(I3=0,I9&gt;(72/2)),AND(I9=0,I3&gt;(257/2))),"Media sanción",IF(SUM(I3:I11)=0,"No Tratado","Rechazado")))</f>
        <v/>
      </c>
      <c r="J13" s="7">
        <f>IF(AND(J3&gt;(257/2),J9&gt;(72/2)),"Aprobado",IF(OR(AND(J3=0,J9&gt;(72/2)),AND(J9=0,J3&gt;(257/2))),"Media sanción",IF(SUM(J3:J11)=0,"No Tratado","Rechazado")))</f>
        <v/>
      </c>
      <c r="K13" s="7">
        <f>IF(AND(K3&gt;(257/2),K9&gt;(72/2)),"Aprobado",IF(OR(AND(K3=0,K9&gt;(72/2)),AND(K9=0,K3&gt;(257/2))),"Media sanción",IF(SUM(K3:K11)=0,"No Tratado","Rechazado")))</f>
        <v/>
      </c>
      <c r="L13" s="7">
        <f>IF(AND(L3&gt;(257/2),L9&gt;(72/2)),"Aprobado",IF(OR(AND(L3=0,L9&gt;(72/2)),AND(L9=0,L3&gt;(257/2))),"Media sanción",IF(SUM(L3:L11)=0,"No Tratado","Rechazado")))</f>
        <v/>
      </c>
      <c r="M13" s="7">
        <f>IF(AND(M3&gt;(257/2),M9&gt;(72/2)),"Aprobado",IF(OR(AND(M3=0,M9&gt;(72/2)),AND(M9=0,M3&gt;(257/2))),"Media sanción",IF(SUM(M3:M11)=0,"No Tratado","Rechazado")))</f>
        <v/>
      </c>
      <c r="N13" s="7">
        <f>IF(AND(N3&gt;(257/2),N9&gt;(72/2)),"Aprobado",IF(OR(AND(N3=0,N9&gt;(72/2)),AND(N9=0,N3&gt;(257/2))),"Media sanción",IF(SUM(N3:N11)=0,"No Tratado","Rechazado")))</f>
        <v/>
      </c>
      <c r="O13" s="7">
        <f>IF(AND(O3&gt;(257/2),O9&gt;(72/2)),"Aprobado",IF(OR(AND(O3=0,O9&gt;(72/2)),AND(O9=0,O3&gt;(257/2))),"Media sanción",IF(SUM(O3:O11)=0,"No Tratado","Rechazado")))</f>
        <v/>
      </c>
      <c r="P13" s="7">
        <f>IF(AND(P3&gt;(257/2),P9&gt;(72/2)),"Aprobado",IF(OR(AND(P3=0,P9&gt;(72/2)),AND(P9=0,P3&gt;(257/2))),"Media sanción",IF(SUM(P3:P11)=0,"No Tratado","Rechazado")))</f>
        <v/>
      </c>
      <c r="Q13" s="7">
        <f>IF(AND(Q3&gt;(257/2),Q9&gt;(72/2)),"Aprobado",IF(OR(AND(Q3=0,Q9&gt;(72/2)),AND(Q9=0,Q3&gt;(257/2))),"Media sanción",IF(SUM(Q3:Q11)=0,"No Tratado","Rechazado")))</f>
        <v/>
      </c>
    </row>
    <row r="18">
      <c r="C18" t="inlineStr">
        <is>
          <t xml:space="preserve">    </t>
        </is>
      </c>
    </row>
    <row r="19">
      <c r="C19" t="inlineStr">
        <is>
          <t xml:space="preserve">    </t>
        </is>
      </c>
    </row>
    <row r="20">
      <c r="C20" t="inlineStr">
        <is>
          <t xml:space="preserve">    </t>
        </is>
      </c>
    </row>
    <row r="21">
      <c r="C21" t="inlineStr">
        <is>
          <t xml:space="preserve">        </t>
        </is>
      </c>
    </row>
    <row r="22">
      <c r="C22" t="inlineStr">
        <is>
          <t xml:space="preserve">            </t>
        </is>
      </c>
    </row>
    <row r="23">
      <c r="C23" t="inlineStr">
        <is>
          <t xml:space="preserve">            </t>
        </is>
      </c>
    </row>
    <row r="24">
      <c r="C24" t="inlineStr">
        <is>
          <t xml:space="preserve">        </t>
        </is>
      </c>
    </row>
    <row r="25">
      <c r="C25" t="inlineStr">
        <is>
          <t xml:space="preserve">        </t>
        </is>
      </c>
    </row>
    <row r="26">
      <c r="C26" t="inlineStr">
        <is>
          <t xml:space="preserve">        </t>
        </is>
      </c>
    </row>
    <row r="27">
      <c r="C27" t="inlineStr">
        <is>
          <t xml:space="preserve">    </t>
        </is>
      </c>
    </row>
  </sheetData>
  <mergeCells count="3">
    <mergeCell ref="A3:A8"/>
    <mergeCell ref="A9:A11"/>
    <mergeCell ref="A1:A2"/>
  </mergeCells>
  <conditionalFormatting sqref="A13:XFD13">
    <cfRule type="containsText" priority="1" operator="containsText" dxfId="3" text="No Tratado">
      <formula>NOT(ISERROR(SEARCH("No Tratado",A13)))</formula>
    </cfRule>
  </conditionalFormatting>
  <conditionalFormatting sqref="C13:Q13">
    <cfRule type="containsText" priority="2" operator="containsText" dxfId="2" text="Media sanción">
      <formula>NOT(ISERROR(SEARCH("Media sanción",C13)))</formula>
    </cfRule>
    <cfRule type="containsText" priority="3" operator="containsText" dxfId="1" text="Rechazado">
      <formula>NOT(ISERROR(SEARCH("Rechazado",C13)))</formula>
    </cfRule>
    <cfRule type="containsText" priority="4" operator="containsText" dxfId="0" text="Aprobado">
      <formula>NOT(ISERROR(SEARCH("Aprobado",C13)))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58"/>
  <sheetViews>
    <sheetView zoomScale="80" zoomScaleNormal="80" workbookViewId="0">
      <selection activeCell="X4" sqref="X4"/>
    </sheetView>
  </sheetViews>
  <sheetFormatPr baseColWidth="10" defaultColWidth="9.140625" defaultRowHeight="15"/>
  <cols>
    <col width="29.7109375" bestFit="1" customWidth="1" min="1" max="1"/>
    <col hidden="1" width="21.7109375" customWidth="1" min="2" max="2"/>
    <col hidden="1" width="18.140625" customWidth="1" min="3" max="3"/>
    <col width="24" customWidth="1" min="4" max="4"/>
    <col hidden="1" width="16" customWidth="1" min="5" max="5"/>
    <col hidden="1" width="18" customWidth="1" min="6" max="6"/>
    <col width="48" bestFit="1" customWidth="1" min="7" max="7"/>
    <col width="48" customWidth="1" min="8" max="8"/>
    <col hidden="1" width="16.7109375" customWidth="1" min="9" max="9"/>
    <col hidden="1" width="18.28515625" customWidth="1" min="10" max="10"/>
    <col hidden="1" width="24.5703125" customWidth="1" min="11" max="11"/>
    <col hidden="1" width="24.85546875" customWidth="1" min="12" max="12"/>
    <col hidden="1" width="9.140625" customWidth="1" min="13" max="15"/>
    <col hidden="1" min="16" max="16"/>
    <col hidden="1" width="13.5703125" customWidth="1" min="17" max="17"/>
    <col hidden="1" min="18" max="18"/>
    <col hidden="1" width="9.140625" customWidth="1" min="19" max="19"/>
    <col hidden="1" min="22" max="23"/>
  </cols>
  <sheetData>
    <row r="1" ht="15.75" customHeight="1" thickBot="1">
      <c r="A1" s="2" t="inlineStr">
        <is>
          <t>Diputado</t>
        </is>
      </c>
      <c r="B1" s="2" t="inlineStr">
        <is>
          <t>Apellido</t>
        </is>
      </c>
      <c r="C1" s="2" t="inlineStr">
        <is>
          <t>Nombre</t>
        </is>
      </c>
      <c r="D1" s="2" t="inlineStr">
        <is>
          <t>Distrito</t>
        </is>
      </c>
      <c r="E1" s="2" t="inlineStr">
        <is>
          <t>IniciaMandato</t>
        </is>
      </c>
      <c r="F1" s="2" t="inlineStr">
        <is>
          <t>FinalizaMandato</t>
        </is>
      </c>
      <c r="G1" s="2" t="inlineStr">
        <is>
          <t>Bloque</t>
        </is>
      </c>
      <c r="H1" s="2" t="inlineStr">
        <is>
          <t>Comisión a la que pertenece</t>
        </is>
      </c>
      <c r="I1" s="2" t="inlineStr">
        <is>
          <t>Presupuesto 2026</t>
        </is>
      </c>
      <c r="J1" s="2" t="inlineStr">
        <is>
          <t>Ley Inocencia Fiscal</t>
        </is>
      </c>
      <c r="K1" s="2" t="inlineStr">
        <is>
          <t xml:space="preserve">Ley Compromiso Nacional </t>
        </is>
      </c>
      <c r="L1" s="2" t="inlineStr">
        <is>
          <t>Ley Modernización Laboral</t>
        </is>
      </c>
      <c r="M1" s="2" t="inlineStr">
        <is>
          <t>Ley Glaciares</t>
        </is>
      </c>
      <c r="N1" s="2" t="inlineStr">
        <is>
          <t>Ley de Régimen Penal Juvenil</t>
        </is>
      </c>
      <c r="O1" s="2" t="inlineStr">
        <is>
          <t>Acuerdo UE - Mercosur</t>
        </is>
      </c>
      <c r="P1" s="2" t="inlineStr">
        <is>
          <t>Financiamiento Universitario</t>
        </is>
      </c>
      <c r="Q1" s="2" t="inlineStr">
        <is>
          <t>Ley Hojarasca</t>
        </is>
      </c>
      <c r="R1" s="2" t="inlineStr">
        <is>
          <t>Reforma Electoral</t>
        </is>
      </c>
      <c r="S1" s="2" t="inlineStr">
        <is>
          <t>Régimen Zonas Frías</t>
        </is>
      </c>
      <c r="T1" s="2" t="inlineStr">
        <is>
          <t>Patentes (PCT)</t>
        </is>
      </c>
      <c r="U1" s="2" t="inlineStr">
        <is>
          <t>Ley de Lobby</t>
        </is>
      </c>
      <c r="V1" s="2" t="inlineStr">
        <is>
          <t>Super RIGI</t>
        </is>
      </c>
      <c r="W1" s="2" t="inlineStr">
        <is>
          <t>CONCILIACIÓN E/ LA REP. ARG. Y BAINBRIDGE LTD. Y E/ LA REP. ARG. Y EL GRUPO DE ACREED. ENCABEZADO POR ATTESTOR VMF</t>
        </is>
      </c>
    </row>
    <row r="2" ht="15.75" customHeight="1" thickBot="1">
      <c r="A2">
        <f>_xlfn.CONCAT(B2,,","," ",C2)</f>
        <v/>
      </c>
      <c r="B2" t="inlineStr">
        <is>
          <t>Agüero</t>
        </is>
      </c>
      <c r="C2" t="inlineStr">
        <is>
          <t>Guillermo César</t>
        </is>
      </c>
      <c r="D2" t="inlineStr">
        <is>
          <t>CHACO</t>
        </is>
      </c>
      <c r="E2" s="1" t="n">
        <v>46001</v>
      </c>
      <c r="F2" s="1" t="n">
        <v>47461</v>
      </c>
      <c r="G2" t="inlineStr">
        <is>
          <t>UCR - UNIÓN CÍVICA RADICAL</t>
        </is>
      </c>
      <c r="H2" s="11" t="inlineStr">
        <is>
          <t>CIENCIA, TECNOLOGIA E INNOVACION PRODUCTIVA | LEGISLACION PENAL | AGRICULTURA Y GANADERIA | INDUSTRIA | ECONOMIAS Y DESARROLLO REGIONAL | ECONOMIA | MERCOSUR | LIBERTAD DE EXPRESION</t>
        </is>
      </c>
      <c r="I2" t="inlineStr">
        <is>
          <t>AFIRMATIVO</t>
        </is>
      </c>
      <c r="J2" s="17" t="inlineStr">
        <is>
          <t>AFIRMATIVO</t>
        </is>
      </c>
      <c r="L2" t="inlineStr">
        <is>
          <t>AFIRMATIVO</t>
        </is>
      </c>
      <c r="M2" s="9" t="inlineStr">
        <is>
          <t>AFIRMATIVO</t>
        </is>
      </c>
      <c r="N2" s="17" t="inlineStr">
        <is>
          <t>AFIRMATIVO</t>
        </is>
      </c>
      <c r="O2" t="inlineStr">
        <is>
          <t>AFIRMATIVO</t>
        </is>
      </c>
      <c r="Q2" t="inlineStr">
        <is>
          <t>AFIRMATIVO</t>
        </is>
      </c>
      <c r="S2" t="inlineStr">
        <is>
          <t>AFIRMATIVO</t>
        </is>
      </c>
      <c r="V2" s="17" t="inlineStr">
        <is>
          <t>AFIRMATIVO</t>
        </is>
      </c>
      <c r="W2" s="17" t="inlineStr">
        <is>
          <t>AFIRMATIVO</t>
        </is>
      </c>
    </row>
    <row r="3" ht="15.75" customHeight="1" thickBot="1">
      <c r="A3">
        <f>_xlfn.CONCAT(B3,,","," ",C3)</f>
        <v/>
      </c>
      <c r="B3" t="inlineStr">
        <is>
          <t>Aguirre</t>
        </is>
      </c>
      <c r="C3" t="inlineStr">
        <is>
          <t>Hilda</t>
        </is>
      </c>
      <c r="D3" t="inlineStr">
        <is>
          <t>LA RIOJA</t>
        </is>
      </c>
      <c r="E3" s="1" t="n">
        <v>45270</v>
      </c>
      <c r="F3" s="1" t="n">
        <v>46730</v>
      </c>
      <c r="G3" t="inlineStr">
        <is>
          <t>UNIÓN POR LA PATRIA</t>
        </is>
      </c>
      <c r="H3" s="12" t="inlineStr">
        <is>
          <t>EDUCACION | CULTURA | DE LAS PERSONAS MAYORES | DISCAPACIDAD | MUJERES Y DIVERSIDAD</t>
        </is>
      </c>
      <c r="I3" t="inlineStr">
        <is>
          <t>NEGATIVO</t>
        </is>
      </c>
      <c r="J3" s="17" t="inlineStr">
        <is>
          <t>NEGATIVO</t>
        </is>
      </c>
      <c r="L3" t="inlineStr">
        <is>
          <t>NEGATIVO</t>
        </is>
      </c>
      <c r="M3" s="9" t="inlineStr">
        <is>
          <t>NEGATIVO</t>
        </is>
      </c>
      <c r="N3" s="17" t="inlineStr">
        <is>
          <t>NEGATIVO</t>
        </is>
      </c>
      <c r="O3" t="inlineStr">
        <is>
          <t>AFIRMATIVO</t>
        </is>
      </c>
      <c r="Q3" t="inlineStr">
        <is>
          <t>NEGATIVO</t>
        </is>
      </c>
      <c r="S3" t="inlineStr">
        <is>
          <t>NEGATIVO</t>
        </is>
      </c>
      <c r="V3" s="17" t="inlineStr">
        <is>
          <t>NEGATIVO</t>
        </is>
      </c>
      <c r="W3" s="17" t="inlineStr">
        <is>
          <t>NEGATIVO</t>
        </is>
      </c>
    </row>
    <row r="4" ht="15.75" customHeight="1" thickBot="1">
      <c r="A4">
        <f>_xlfn.CONCAT(B4,,","," ",C4)</f>
        <v/>
      </c>
      <c r="B4" t="inlineStr">
        <is>
          <t>Ajmechet</t>
        </is>
      </c>
      <c r="C4" t="inlineStr">
        <is>
          <t>Sabrina</t>
        </is>
      </c>
      <c r="D4" t="inlineStr">
        <is>
          <t>CIUDAD DE BUENOS AIRES</t>
        </is>
      </c>
      <c r="E4" s="1" t="n">
        <v>46001</v>
      </c>
      <c r="F4" s="1" t="n">
        <v>47461</v>
      </c>
      <c r="G4" t="inlineStr">
        <is>
          <t>LA LIBERTAD AVANZA</t>
        </is>
      </c>
      <c r="H4" s="12" t="inlineStr">
        <is>
          <t>ASUNTOS CONSTITUCIONALES | RELACIONES EXTERIORES Y CULTO | EDUCACION | CIENCIA, TECNOLOGIA E INNOVACION PRODUCTIVA | LEGISLACION PENAL | ENERGIA Y COMBUSTIBLES | COMUNICACIONES E INFORMATICA</t>
        </is>
      </c>
      <c r="I4" t="inlineStr">
        <is>
          <t>AFIRMATIVO</t>
        </is>
      </c>
      <c r="J4" s="17" t="inlineStr">
        <is>
          <t>AFIRMATIVO</t>
        </is>
      </c>
      <c r="L4" t="inlineStr">
        <is>
          <t>AFIRMATIVO</t>
        </is>
      </c>
      <c r="M4" s="9" t="inlineStr">
        <is>
          <t>AFIRMATIVO</t>
        </is>
      </c>
      <c r="N4" s="17" t="inlineStr">
        <is>
          <t>AFIRMATIVO</t>
        </is>
      </c>
      <c r="O4" t="inlineStr">
        <is>
          <t>AFIRMATIVO</t>
        </is>
      </c>
      <c r="Q4" t="inlineStr">
        <is>
          <t>AFIRMATIVO</t>
        </is>
      </c>
      <c r="S4" t="inlineStr">
        <is>
          <t>AFIRMATIVO</t>
        </is>
      </c>
      <c r="V4" s="17" t="inlineStr">
        <is>
          <t>AFIRMATIVO</t>
        </is>
      </c>
      <c r="W4" s="17" t="inlineStr">
        <is>
          <t>AFIRMATIVO</t>
        </is>
      </c>
    </row>
    <row r="5" ht="15.75" customHeight="1" thickBot="1">
      <c r="A5">
        <f>_xlfn.CONCAT(B5,,","," ",C5)</f>
        <v/>
      </c>
      <c r="B5" t="inlineStr">
        <is>
          <t>Alí</t>
        </is>
      </c>
      <c r="C5" t="inlineStr">
        <is>
          <t>Ernesto Pipi""</t>
        </is>
      </c>
      <c r="D5" t="inlineStr">
        <is>
          <t>SAN LUIS</t>
        </is>
      </c>
      <c r="E5" s="1" t="n">
        <v>45322</v>
      </c>
      <c r="F5" s="1" t="n">
        <v>46730</v>
      </c>
      <c r="G5" t="inlineStr">
        <is>
          <t>UNIÓN POR LA PATRIA</t>
        </is>
      </c>
      <c r="H5" s="12" t="inlineStr">
        <is>
          <t>ASUNTOS CONSTITUCIONALES | OBRAS PUBLICAS | AGRICULTURA Y GANADERIA | VIVIENDA Y ORDENAMIENTO URBANO | MINERIA | ASUNTOS COOPERATIVOS, MUTUALES Y ORGANIZACIONES NO GUBERNAMENTALES | SEGURIDAD INTERIOR</t>
        </is>
      </c>
      <c r="I5" t="inlineStr">
        <is>
          <t>NEGATIVO</t>
        </is>
      </c>
      <c r="J5" s="17" t="inlineStr">
        <is>
          <t>NEGATIVO</t>
        </is>
      </c>
      <c r="L5" t="inlineStr">
        <is>
          <t>NEGATIVO</t>
        </is>
      </c>
      <c r="M5" s="9" t="inlineStr">
        <is>
          <t>NEGATIVO</t>
        </is>
      </c>
      <c r="N5" s="17" t="inlineStr">
        <is>
          <t>NEGATIVO</t>
        </is>
      </c>
      <c r="O5" t="inlineStr">
        <is>
          <t>AFIRMATIVO</t>
        </is>
      </c>
      <c r="Q5" t="inlineStr">
        <is>
          <t>NEGATIVO</t>
        </is>
      </c>
      <c r="S5" t="inlineStr">
        <is>
          <t>NEGATIVO</t>
        </is>
      </c>
      <c r="V5" s="17" t="inlineStr">
        <is>
          <t>NEGATIVO</t>
        </is>
      </c>
      <c r="W5" s="17" t="inlineStr">
        <is>
          <t>NEGATIVO</t>
        </is>
      </c>
    </row>
    <row r="6" ht="15.75" customHeight="1" thickBot="1">
      <c r="A6">
        <f>_xlfn.CONCAT(B6,,","," ",C6)</f>
        <v/>
      </c>
      <c r="B6" t="inlineStr">
        <is>
          <t>Almena</t>
        </is>
      </c>
      <c r="C6" t="inlineStr">
        <is>
          <t>Carlos Alberto</t>
        </is>
      </c>
      <c r="D6" t="inlineStr">
        <is>
          <t>SAN LUIS</t>
        </is>
      </c>
      <c r="E6" s="1" t="n">
        <v>46001</v>
      </c>
      <c r="F6" s="1" t="n">
        <v>47461</v>
      </c>
      <c r="G6" t="inlineStr">
        <is>
          <t>LA LIBERTAD AVANZA</t>
        </is>
      </c>
      <c r="H6" s="12" t="inlineStr">
        <is>
          <t>CIENCIA, TECNOLOGIA E INNOVACION PRODUCTIVA | FAMILIAS, NIÑEZ Y JUVENTUDES | COMUNICACIONES E INFORMATICA | ASUNTOS MUNICIPALES | PREVENCION DE ADICCIONES Y CONTROL DEL NARCOTRAFICO | POBLACION Y DESARROLLO HUMANO</t>
        </is>
      </c>
      <c r="I6" t="inlineStr">
        <is>
          <t>AFIRMATIVO</t>
        </is>
      </c>
      <c r="J6" s="17" t="inlineStr">
        <is>
          <t>AFIRMATIVO</t>
        </is>
      </c>
      <c r="L6" t="inlineStr">
        <is>
          <t>AFIRMATIVO</t>
        </is>
      </c>
      <c r="M6" s="9" t="inlineStr">
        <is>
          <t>AFIRMATIVO</t>
        </is>
      </c>
      <c r="N6" s="17" t="inlineStr">
        <is>
          <t>AFIRMATIVO</t>
        </is>
      </c>
      <c r="O6" t="inlineStr">
        <is>
          <t>AFIRMATIVO</t>
        </is>
      </c>
      <c r="Q6" t="inlineStr">
        <is>
          <t>AFIRMATIVO</t>
        </is>
      </c>
      <c r="S6" t="inlineStr">
        <is>
          <t>AFIRMATIVO</t>
        </is>
      </c>
      <c r="V6" s="17" t="inlineStr">
        <is>
          <t>AFIRMATIVO</t>
        </is>
      </c>
      <c r="W6" s="17" t="inlineStr">
        <is>
          <t>AFIRMATIVO</t>
        </is>
      </c>
    </row>
    <row r="7" ht="15.75" customHeight="1" thickBot="1">
      <c r="A7">
        <f>_xlfn.CONCAT(B7,,","," ",C7)</f>
        <v/>
      </c>
      <c r="B7" t="inlineStr">
        <is>
          <t>Almirón</t>
        </is>
      </c>
      <c r="C7" t="inlineStr">
        <is>
          <t>Lisandro</t>
        </is>
      </c>
      <c r="D7" t="inlineStr">
        <is>
          <t>CORRIENTES</t>
        </is>
      </c>
      <c r="E7" s="1" t="n">
        <v>45270</v>
      </c>
      <c r="F7" s="1" t="n">
        <v>46730</v>
      </c>
      <c r="G7" t="inlineStr">
        <is>
          <t>LA LIBERTAD AVANZA</t>
        </is>
      </c>
      <c r="H7" s="10" t="inlineStr">
        <is>
          <t>PRESUPUESTO Y HACIENDA | LEGISLACION PENAL | LEGISLACION DEL TRABAJO | OBRAS PUBLICAS | INTERESES MARITIMOS, FLUVIALES, PESQUEROS Y PORTUARIOS | JUICIO POLITICO | RECURSOS NATURALES Y CONSERVACION DEL AMBIENTE HUMANO | ANALISIS Y SEGUIMIENTO DEL CUMPLIMIENTO DE NORMAS TRIBUTARIAS Y PREVISIONALES | LIBERTAD DE EXPRESION</t>
        </is>
      </c>
      <c r="I7" t="inlineStr">
        <is>
          <t>AFIRMATIVO</t>
        </is>
      </c>
      <c r="J7" s="17" t="inlineStr">
        <is>
          <t>AFIRMATIVO</t>
        </is>
      </c>
      <c r="L7" t="inlineStr">
        <is>
          <t>AFIRMATIVO</t>
        </is>
      </c>
      <c r="M7" s="9" t="inlineStr">
        <is>
          <t>AFIRMATIVO</t>
        </is>
      </c>
      <c r="N7" s="17" t="inlineStr">
        <is>
          <t>AFIRMATIVO</t>
        </is>
      </c>
      <c r="O7" t="inlineStr">
        <is>
          <t>AFIRMATIVO</t>
        </is>
      </c>
      <c r="Q7" t="inlineStr">
        <is>
          <t>AFIRMATIVO</t>
        </is>
      </c>
      <c r="S7" t="inlineStr">
        <is>
          <t>AFIRMATIVO</t>
        </is>
      </c>
      <c r="V7" s="17" t="inlineStr">
        <is>
          <t>AFIRMATIVO</t>
        </is>
      </c>
      <c r="W7" s="17" t="inlineStr">
        <is>
          <t>AFIRMATIVO</t>
        </is>
      </c>
    </row>
    <row r="8" ht="15.75" customHeight="1" thickBot="1">
      <c r="A8">
        <f>_xlfn.CONCAT(B8,,","," ",C8)</f>
        <v/>
      </c>
      <c r="B8" t="inlineStr">
        <is>
          <t>Álvarez</t>
        </is>
      </c>
      <c r="C8" t="inlineStr">
        <is>
          <t>Claudio</t>
        </is>
      </c>
      <c r="D8" t="inlineStr">
        <is>
          <t>SAN LUIS</t>
        </is>
      </c>
      <c r="E8" s="1" t="n">
        <v>46001</v>
      </c>
      <c r="F8" s="1" t="n">
        <v>46730</v>
      </c>
      <c r="G8" t="inlineStr">
        <is>
          <t>INNOVACIÓN FEDERAL</t>
        </is>
      </c>
      <c r="H8" s="12" t="inlineStr">
        <is>
          <t>PREVISION Y SEGURIDAD SOCIAL | VIVIENDA Y ORDENAMIENTO URBANO | ANALISIS Y SEGUIMIENTO DEL CUMPLIMIENTO DE NORMAS TRIBUTARIAS Y PREVISIONALES | SEGURIDAD INTERIOR</t>
        </is>
      </c>
      <c r="I8" t="inlineStr">
        <is>
          <t>AFIRMATIVO</t>
        </is>
      </c>
      <c r="J8" s="17" t="inlineStr">
        <is>
          <t>AFIRMATIVO</t>
        </is>
      </c>
      <c r="L8" t="inlineStr">
        <is>
          <t>NEGATIVO</t>
        </is>
      </c>
      <c r="M8" s="9" t="inlineStr">
        <is>
          <t>AFIRMATIVO</t>
        </is>
      </c>
      <c r="N8" s="17" t="inlineStr">
        <is>
          <t>AFIRMATIVO</t>
        </is>
      </c>
      <c r="O8" t="inlineStr">
        <is>
          <t>AFIRMATIVO</t>
        </is>
      </c>
      <c r="Q8" t="inlineStr">
        <is>
          <t>AFIRMATIVO</t>
        </is>
      </c>
      <c r="S8" t="inlineStr">
        <is>
          <t>NEGATIVO</t>
        </is>
      </c>
      <c r="V8" s="17" t="inlineStr">
        <is>
          <t>AFIRMATIVO</t>
        </is>
      </c>
      <c r="W8" s="17" t="inlineStr">
        <is>
          <t>AFIRMATIVO</t>
        </is>
      </c>
    </row>
    <row r="9" ht="15.75" customHeight="1" thickBot="1">
      <c r="A9">
        <f>_xlfn.CONCAT(B9,,","," ",C9)</f>
        <v/>
      </c>
      <c r="B9" t="inlineStr">
        <is>
          <t>Andino</t>
        </is>
      </c>
      <c r="C9" t="inlineStr">
        <is>
          <t>Cristian</t>
        </is>
      </c>
      <c r="D9" t="inlineStr">
        <is>
          <t>SAN JUAN</t>
        </is>
      </c>
      <c r="E9" s="1" t="n">
        <v>46001</v>
      </c>
      <c r="F9" s="1" t="n">
        <v>47461</v>
      </c>
      <c r="G9" t="inlineStr">
        <is>
          <t>UNIÓN POR LA PATRIA</t>
        </is>
      </c>
      <c r="H9" s="12" t="inlineStr">
        <is>
          <t>PRESUPUESTO Y HACIENDA | ECONOMIAS Y DESARROLLO REGIONAL | ASUNTOS MUNICIPALES | MINERIA | ANALISIS Y SEGUIMIENTO DEL CUMPLIMIENTO DE NORMAS TRIBUTARIAS Y PREVISIONALES | DISCAPACIDAD</t>
        </is>
      </c>
      <c r="I9" t="inlineStr">
        <is>
          <t>NEGATIVO</t>
        </is>
      </c>
      <c r="J9" s="17" t="inlineStr">
        <is>
          <t>NEGATIVO</t>
        </is>
      </c>
      <c r="L9" t="inlineStr">
        <is>
          <t>NEGATIVO</t>
        </is>
      </c>
      <c r="M9" s="9" t="inlineStr">
        <is>
          <t>AFIRMATIVO</t>
        </is>
      </c>
      <c r="N9" s="17" t="inlineStr">
        <is>
          <t>NEGATIVO</t>
        </is>
      </c>
      <c r="O9" t="inlineStr">
        <is>
          <t>AFIRMATIVO</t>
        </is>
      </c>
      <c r="Q9" t="inlineStr">
        <is>
          <t>NEGATIVO</t>
        </is>
      </c>
      <c r="S9" t="inlineStr">
        <is>
          <t>NEGATIVO</t>
        </is>
      </c>
      <c r="V9" s="17" t="inlineStr">
        <is>
          <t>NEGATIVO</t>
        </is>
      </c>
      <c r="W9" s="17" t="inlineStr">
        <is>
          <t>NEGATIVO</t>
        </is>
      </c>
    </row>
    <row r="10" ht="15.75" customHeight="1" thickBot="1">
      <c r="A10">
        <f>_xlfn.CONCAT(B10,,","," ",C10)</f>
        <v/>
      </c>
      <c r="B10" t="inlineStr">
        <is>
          <t>Andrade</t>
        </is>
      </c>
      <c r="C10" t="inlineStr">
        <is>
          <t>Javier</t>
        </is>
      </c>
      <c r="D10" t="inlineStr">
        <is>
          <t>CIUDAD DE BUENOS AIRES</t>
        </is>
      </c>
      <c r="E10" s="1" t="n">
        <v>46001</v>
      </c>
      <c r="F10" s="1" t="n">
        <v>46730</v>
      </c>
      <c r="G10" t="inlineStr">
        <is>
          <t>UNIÓN POR LA PATRIA</t>
        </is>
      </c>
      <c r="H10" s="12" t="inlineStr">
        <is>
          <t>RELACIONES EXTERIORES Y CULTO | VIVIENDA Y ORDENAMIENTO URBANO | POBLACION Y DESARROLLO HUMANO | DEPORTES | DERECHOS HUMANOS Y GARANTIAS | MERCOSUR</t>
        </is>
      </c>
      <c r="I10" t="inlineStr">
        <is>
          <t>NEGATIVO</t>
        </is>
      </c>
      <c r="J10" s="17" t="inlineStr">
        <is>
          <t>NEGATIVO</t>
        </is>
      </c>
      <c r="L10" t="inlineStr">
        <is>
          <t>NEGATIVO</t>
        </is>
      </c>
      <c r="M10" s="9" t="inlineStr">
        <is>
          <t>NEGATIVO</t>
        </is>
      </c>
      <c r="N10" s="17" t="inlineStr">
        <is>
          <t>NEGATIVO</t>
        </is>
      </c>
      <c r="O10" t="inlineStr">
        <is>
          <t>NEGATIVO</t>
        </is>
      </c>
      <c r="Q10" t="inlineStr">
        <is>
          <t>NEGATIVO</t>
        </is>
      </c>
      <c r="S10" t="inlineStr">
        <is>
          <t>NEGATIVO</t>
        </is>
      </c>
      <c r="V10" s="17" t="inlineStr">
        <is>
          <t>NEGATIVO</t>
        </is>
      </c>
      <c r="W10" s="17" t="inlineStr">
        <is>
          <t>NEGATIVO</t>
        </is>
      </c>
    </row>
    <row r="11" ht="15.75" customHeight="1" thickBot="1">
      <c r="A11">
        <f>_xlfn.CONCAT(B11,,","," ",C11)</f>
        <v/>
      </c>
      <c r="B11" t="inlineStr">
        <is>
          <t>Andreussi</t>
        </is>
      </c>
      <c r="C11" t="inlineStr">
        <is>
          <t>Barbara</t>
        </is>
      </c>
      <c r="D11" t="inlineStr">
        <is>
          <t>JUJUY</t>
        </is>
      </c>
      <c r="E11" s="1" t="n">
        <v>46001</v>
      </c>
      <c r="F11" s="1" t="n">
        <v>47461</v>
      </c>
      <c r="G11" t="inlineStr">
        <is>
          <t>LA LIBERTAD AVANZA</t>
        </is>
      </c>
      <c r="H11" s="12" t="inlineStr">
        <is>
          <t>CULTURA | FAMILIAS, NIÑEZ Y JUVENTUDES | DE LAS PERSONAS MAYORES | ECONOMIAS Y DESARROLLO REGIONAL | MINERIA | PREVENCION DE ADICCIONES Y CONTROL DEL NARCOTRAFICO | POBLACION Y DESARROLLO HUMANO | DISCAPACIDAD</t>
        </is>
      </c>
      <c r="I11" t="inlineStr">
        <is>
          <t>AFIRMATIVO</t>
        </is>
      </c>
      <c r="J11" s="17" t="inlineStr">
        <is>
          <t>AFIRMATIVO</t>
        </is>
      </c>
      <c r="L11" t="inlineStr">
        <is>
          <t>AFIRMATIVO</t>
        </is>
      </c>
      <c r="M11" s="9" t="inlineStr">
        <is>
          <t>AFIRMATIVO</t>
        </is>
      </c>
      <c r="N11" s="17" t="inlineStr">
        <is>
          <t>AFIRMATIVO</t>
        </is>
      </c>
      <c r="O11" t="inlineStr">
        <is>
          <t>AFIRMATIVO</t>
        </is>
      </c>
      <c r="Q11" t="inlineStr">
        <is>
          <t>AFIRMATIVO</t>
        </is>
      </c>
      <c r="S11" t="inlineStr">
        <is>
          <t>AFIRMATIVO</t>
        </is>
      </c>
      <c r="V11" s="17" t="inlineStr">
        <is>
          <t>AFIRMATIVO</t>
        </is>
      </c>
      <c r="W11" s="17" t="inlineStr">
        <is>
          <t>AFIRMATIVO</t>
        </is>
      </c>
    </row>
    <row r="12" ht="15.75" customHeight="1" thickBot="1">
      <c r="A12">
        <f>_xlfn.CONCAT(B12,,","," ",C12)</f>
        <v/>
      </c>
      <c r="B12" t="inlineStr">
        <is>
          <t>Ansaloni</t>
        </is>
      </c>
      <c r="C12" t="inlineStr">
        <is>
          <t>Pablo</t>
        </is>
      </c>
      <c r="D12" t="inlineStr">
        <is>
          <t>BUENOS AIRES</t>
        </is>
      </c>
      <c r="E12" s="1" t="n">
        <v>45270</v>
      </c>
      <c r="F12" s="1" t="n">
        <v>46730</v>
      </c>
      <c r="G12" t="inlineStr">
        <is>
          <t>LA LIBERTAD AVANZA</t>
        </is>
      </c>
      <c r="H12" s="12" t="inlineStr">
        <is>
          <t>PREVISION Y SEGURIDAD SOCIAL | ACCION SOCIAL Y SALUD PUBLICA | LEGISLACION DEL TRABAJO | AGRICULTURA Y GANADERIA | ECONOMIAS Y DESARROLLO REGIONAL | RECURSOS NATURALES Y CONSERVACION DEL AMBIENTE HUMANO | DEPORTES | PEQUEÑAS Y MEDIANAS EMPRESAS</t>
        </is>
      </c>
      <c r="I12" t="inlineStr">
        <is>
          <t>AFIRMATIVO</t>
        </is>
      </c>
      <c r="J12" s="17" t="inlineStr">
        <is>
          <t>AFIRMATIVO</t>
        </is>
      </c>
      <c r="L12" t="inlineStr">
        <is>
          <t>AFIRMATIVO</t>
        </is>
      </c>
      <c r="M12" s="9" t="inlineStr">
        <is>
          <t>AFIRMATIVO</t>
        </is>
      </c>
      <c r="N12" s="17" t="inlineStr">
        <is>
          <t>AFIRMATIVO</t>
        </is>
      </c>
      <c r="O12" t="inlineStr">
        <is>
          <t>AFIRMATIVO</t>
        </is>
      </c>
      <c r="Q12" t="inlineStr">
        <is>
          <t>AFIRMATIVO</t>
        </is>
      </c>
      <c r="S12" t="inlineStr">
        <is>
          <t>AFIRMATIVO</t>
        </is>
      </c>
      <c r="V12" s="17" t="inlineStr">
        <is>
          <t>AFIRMATIVO</t>
        </is>
      </c>
      <c r="W12" s="17" t="inlineStr">
        <is>
          <t>AFIRMATIVO</t>
        </is>
      </c>
    </row>
    <row r="13" ht="15.75" customHeight="1" thickBot="1">
      <c r="A13">
        <f>_xlfn.CONCAT(B13,,","," ",C13)</f>
        <v/>
      </c>
      <c r="B13" t="inlineStr">
        <is>
          <t>Arabia</t>
        </is>
      </c>
      <c r="C13" t="inlineStr">
        <is>
          <t>Damián</t>
        </is>
      </c>
      <c r="D13" t="inlineStr">
        <is>
          <t>CIUDAD DE BUENOS AIRES</t>
        </is>
      </c>
      <c r="E13" s="1" t="n">
        <v>45270</v>
      </c>
      <c r="F13" s="1" t="n">
        <v>46730</v>
      </c>
      <c r="G13" t="inlineStr">
        <is>
          <t>LA LIBERTAD AVANZA</t>
        </is>
      </c>
      <c r="H13" s="12" t="inlineStr">
        <is>
          <t>RELACIONES EXTERIORES Y CULTO | CIENCIA, TECNOLOGIA E INNOVACION PRODUCTIVA | DEFENSA NACIONAL | FINANZAS | COMUNICACIONES E INFORMATICA | ECONOMIAS Y DESARROLLO REGIONAL | TURISMO | MERCOSUR | SEGURIDAD INTERIOR</t>
        </is>
      </c>
      <c r="I13" t="inlineStr">
        <is>
          <t>AFIRMATIVO</t>
        </is>
      </c>
      <c r="J13" s="17" t="inlineStr">
        <is>
          <t>AFIRMATIVO</t>
        </is>
      </c>
      <c r="L13" t="inlineStr">
        <is>
          <t>AFIRMATIVO</t>
        </is>
      </c>
      <c r="M13" s="9" t="inlineStr">
        <is>
          <t>AFIRMATIVO</t>
        </is>
      </c>
      <c r="N13" s="17" t="inlineStr">
        <is>
          <t>AFIRMATIVO</t>
        </is>
      </c>
      <c r="O13" t="inlineStr">
        <is>
          <t>AFIRMATIVO</t>
        </is>
      </c>
      <c r="Q13" t="inlineStr">
        <is>
          <t>AFIRMATIVO</t>
        </is>
      </c>
      <c r="S13" t="inlineStr">
        <is>
          <t>AFIRMATIVO</t>
        </is>
      </c>
      <c r="V13" s="17" t="inlineStr">
        <is>
          <t>AFIRMATIVO</t>
        </is>
      </c>
      <c r="W13" s="17" t="inlineStr">
        <is>
          <t>AFIRMATIVO</t>
        </is>
      </c>
    </row>
    <row r="14" ht="15.75" customHeight="1" thickBot="1">
      <c r="A14">
        <f>_xlfn.CONCAT(B14,,","," ",C14)</f>
        <v/>
      </c>
      <c r="B14" t="inlineStr">
        <is>
          <t>Araujo Hernández</t>
        </is>
      </c>
      <c r="C14" t="inlineStr">
        <is>
          <t>Jorge Neri</t>
        </is>
      </c>
      <c r="D14" t="inlineStr">
        <is>
          <t>TIERRA DEL FUEGO</t>
        </is>
      </c>
      <c r="E14" s="1" t="n">
        <v>45270</v>
      </c>
      <c r="F14" s="1" t="n">
        <v>46730</v>
      </c>
      <c r="G14" t="inlineStr">
        <is>
          <t>UNIÓN POR LA PATRIA</t>
        </is>
      </c>
      <c r="H14" s="12" t="inlineStr">
        <is>
          <t>ACCION SOCIAL Y SALUD PUBLICA | DEFENSA NACIONAL | ENERGIA Y COMBUSTIBLES | TURISMO | DEPORTES | MERCOSUR</t>
        </is>
      </c>
      <c r="I14" t="inlineStr">
        <is>
          <t>NEGATIVO</t>
        </is>
      </c>
      <c r="J14" s="17" t="inlineStr">
        <is>
          <t>NEGATIVO</t>
        </is>
      </c>
      <c r="L14" t="inlineStr">
        <is>
          <t>NEGATIVO</t>
        </is>
      </c>
      <c r="M14" s="9" t="inlineStr">
        <is>
          <t>NEGATIVO</t>
        </is>
      </c>
      <c r="N14" s="17" t="inlineStr">
        <is>
          <t>NEGATIVO</t>
        </is>
      </c>
      <c r="O14" t="inlineStr">
        <is>
          <t>AFIRMATIVO</t>
        </is>
      </c>
      <c r="Q14" t="inlineStr">
        <is>
          <t>NEGATIVO</t>
        </is>
      </c>
      <c r="S14" t="inlineStr">
        <is>
          <t>NEGATIVO</t>
        </is>
      </c>
      <c r="V14" s="17" t="inlineStr">
        <is>
          <t>NEGATIVO</t>
        </is>
      </c>
      <c r="W14" s="17" t="inlineStr">
        <is>
          <t>NEGATIVO</t>
        </is>
      </c>
    </row>
    <row r="15" ht="15.75" customHeight="1" thickBot="1">
      <c r="A15">
        <f>_xlfn.CONCAT(B15,,","," ",C15)</f>
        <v/>
      </c>
      <c r="B15" t="inlineStr">
        <is>
          <t>Ardohain</t>
        </is>
      </c>
      <c r="C15" t="inlineStr">
        <is>
          <t>Martín</t>
        </is>
      </c>
      <c r="D15" t="inlineStr">
        <is>
          <t>LA PAMPA</t>
        </is>
      </c>
      <c r="E15" s="1" t="n">
        <v>45270</v>
      </c>
      <c r="F15" s="1" t="n">
        <v>46730</v>
      </c>
      <c r="G15" t="inlineStr">
        <is>
          <t>PRO</t>
        </is>
      </c>
      <c r="H15" s="12" t="inlineStr">
        <is>
          <t>DE LAS PERSONAS MAYORES | AGRICULTURA Y GANADERIA | COMERCIO | ECONOMIAS Y DESARROLLO REGIONAL | ECONOMIA | MERCOSUR | DEFENSA DEL CONSUMIDOR, DEL USUARIO Y DE LA COMPETENCIA</t>
        </is>
      </c>
      <c r="I15" t="inlineStr">
        <is>
          <t>AFIRMATIVO</t>
        </is>
      </c>
      <c r="J15" s="17" t="inlineStr">
        <is>
          <t>AFIRMATIVO</t>
        </is>
      </c>
      <c r="L15" t="inlineStr">
        <is>
          <t>AFIRMATIVO</t>
        </is>
      </c>
      <c r="M15" s="9" t="inlineStr">
        <is>
          <t>AFIRMATIVO</t>
        </is>
      </c>
      <c r="N15" s="17" t="inlineStr">
        <is>
          <t>AFIRMATIVO</t>
        </is>
      </c>
      <c r="O15" t="inlineStr">
        <is>
          <t>AFIRMATIVO</t>
        </is>
      </c>
      <c r="Q15" t="inlineStr">
        <is>
          <t>AFIRMATIVO</t>
        </is>
      </c>
      <c r="S15" t="inlineStr">
        <is>
          <t>AFIRMATIVO</t>
        </is>
      </c>
      <c r="V15" s="17" t="inlineStr">
        <is>
          <t>AFIRMATIVO</t>
        </is>
      </c>
      <c r="W15" s="17" t="inlineStr">
        <is>
          <t>AFIRMATIVO</t>
        </is>
      </c>
    </row>
    <row r="16" ht="15.75" customHeight="1" thickBot="1">
      <c r="A16">
        <f>_xlfn.CONCAT(B16,,","," ",C16)</f>
        <v/>
      </c>
      <c r="B16" t="inlineStr">
        <is>
          <t>Arrieta</t>
        </is>
      </c>
      <c r="C16" t="inlineStr">
        <is>
          <t>Lourdes Micaela</t>
        </is>
      </c>
      <c r="D16" t="inlineStr">
        <is>
          <t>MENDOZA</t>
        </is>
      </c>
      <c r="E16" s="1" t="n">
        <v>45270</v>
      </c>
      <c r="F16" s="1" t="n">
        <v>46730</v>
      </c>
      <c r="G16" t="inlineStr">
        <is>
          <t>PROVINCIAS UNIDAS</t>
        </is>
      </c>
      <c r="H16" s="12" t="inlineStr">
        <is>
          <t>CULTURA | DE LAS PERSONAS MAYORES | DEFENSA NACIONAL | COMUNICACIONES E INFORMATICA | ECONOMIAS Y DESARROLLO REGIONAL | ASUNTOS MUNICIPALES | VIVIENDA Y ORDENAMIENTO URBANO | MINERIA | LIBERTAD DE EXPRESION</t>
        </is>
      </c>
      <c r="I16" t="inlineStr">
        <is>
          <t>ABSTENCIÓN</t>
        </is>
      </c>
      <c r="J16" s="17" t="inlineStr">
        <is>
          <t>NEGATIVO</t>
        </is>
      </c>
      <c r="L16" t="inlineStr">
        <is>
          <t>NEGATIVO</t>
        </is>
      </c>
      <c r="M16" s="9" t="inlineStr">
        <is>
          <t>NEGATIVO</t>
        </is>
      </c>
      <c r="N16" s="17" t="inlineStr">
        <is>
          <t>AFIRMATIVO</t>
        </is>
      </c>
      <c r="O16" t="inlineStr">
        <is>
          <t>AFIRMATIVO</t>
        </is>
      </c>
      <c r="Q16" t="inlineStr">
        <is>
          <t>AFIRMATIVO</t>
        </is>
      </c>
      <c r="S16" t="inlineStr">
        <is>
          <t>AFIRMATIVO</t>
        </is>
      </c>
      <c r="V16" s="17" t="inlineStr">
        <is>
          <t>ABSTENCION</t>
        </is>
      </c>
      <c r="W16" s="17" t="inlineStr">
        <is>
          <t>AFIRMATIVO</t>
        </is>
      </c>
    </row>
    <row r="17" ht="15.75" customHeight="1" thickBot="1">
      <c r="A17">
        <f>_xlfn.CONCAT(B17,,","," ",C17)</f>
        <v/>
      </c>
      <c r="B17" t="inlineStr">
        <is>
          <t>Arrúa</t>
        </is>
      </c>
      <c r="C17" t="inlineStr">
        <is>
          <t>Alberto</t>
        </is>
      </c>
      <c r="D17" t="inlineStr">
        <is>
          <t>MISIONES</t>
        </is>
      </c>
      <c r="E17" s="1" t="n">
        <v>45270</v>
      </c>
      <c r="F17" s="1" t="n">
        <v>46730</v>
      </c>
      <c r="G17" t="inlineStr">
        <is>
          <t>INNOVACIÓN FEDERAL</t>
        </is>
      </c>
      <c r="H17" s="12" t="inlineStr">
        <is>
          <t>ASUNTOS CONSTITUCIONALES | RELACIONES EXTERIORES Y CULTO | ENERGIA Y COMBUSTIBLES | INTERESES MARITIMOS, FLUVIALES, PESQUEROS Y PORTUARIOS | JUICIO POLITICO | RECURSOS NATURALES Y CONSERVACION DEL AMBIENTE HUMANO</t>
        </is>
      </c>
      <c r="I17" t="inlineStr">
        <is>
          <t>AFIRMATIVO</t>
        </is>
      </c>
      <c r="J17" s="17" t="inlineStr">
        <is>
          <t>AFIRMATIVO</t>
        </is>
      </c>
      <c r="L17" t="inlineStr">
        <is>
          <t>AFIRMATIVO</t>
        </is>
      </c>
      <c r="M17" s="9" t="inlineStr">
        <is>
          <t>AFIRMATIVO</t>
        </is>
      </c>
      <c r="N17" s="17" t="inlineStr">
        <is>
          <t>AFIRMATIVO</t>
        </is>
      </c>
      <c r="O17" t="inlineStr">
        <is>
          <t>AFIRMATIVO</t>
        </is>
      </c>
      <c r="Q17" t="inlineStr">
        <is>
          <t>AFIRMATIVO</t>
        </is>
      </c>
      <c r="S17" t="inlineStr">
        <is>
          <t>AFIRMATIVO</t>
        </is>
      </c>
      <c r="V17" s="17" t="inlineStr">
        <is>
          <t>AFIRMATIVO</t>
        </is>
      </c>
      <c r="W17" s="17" t="inlineStr">
        <is>
          <t>AFIRMATIVO</t>
        </is>
      </c>
    </row>
    <row r="18" ht="15.75" customHeight="1" thickBot="1">
      <c r="A18">
        <f>_xlfn.CONCAT(B18,,","," ",C18)</f>
        <v/>
      </c>
      <c r="B18" t="inlineStr">
        <is>
          <t>Aveiro</t>
        </is>
      </c>
      <c r="C18" t="inlineStr">
        <is>
          <t>Martín</t>
        </is>
      </c>
      <c r="D18" t="inlineStr">
        <is>
          <t>MENDOZA</t>
        </is>
      </c>
      <c r="E18" s="1" t="n">
        <v>45270</v>
      </c>
      <c r="F18" s="1" t="n">
        <v>46730</v>
      </c>
      <c r="G18" t="inlineStr">
        <is>
          <t>UNIÓN POR LA PATRIA</t>
        </is>
      </c>
      <c r="H18" s="12" t="inlineStr">
        <is>
          <t>OBRAS PUBLICAS | VIVIENDA Y ORDENAMIENTO URBANO | TURISMO | DEPORTES | ASUNTOS COOPERATIVOS, MUTUALES Y ORGANIZACIONES NO GUBERNAMENTALES</t>
        </is>
      </c>
      <c r="I18" t="inlineStr">
        <is>
          <t>AUSENTE</t>
        </is>
      </c>
      <c r="J18" s="17" t="inlineStr">
        <is>
          <t>AUSENTE</t>
        </is>
      </c>
      <c r="L18" t="inlineStr">
        <is>
          <t>NEGATIVO</t>
        </is>
      </c>
      <c r="M18" s="9" t="inlineStr">
        <is>
          <t>NEGATIVO</t>
        </is>
      </c>
      <c r="N18" s="17" t="inlineStr">
        <is>
          <t>NEGATIVO</t>
        </is>
      </c>
      <c r="O18" t="inlineStr">
        <is>
          <t>AFIRMATIVO</t>
        </is>
      </c>
      <c r="Q18" t="inlineStr">
        <is>
          <t>NEGATIVO</t>
        </is>
      </c>
      <c r="S18" t="inlineStr">
        <is>
          <t>NEGATIVO</t>
        </is>
      </c>
      <c r="V18" s="17" t="inlineStr">
        <is>
          <t>NEGATIVO</t>
        </is>
      </c>
      <c r="W18" s="17" t="inlineStr">
        <is>
          <t>NEGATIVO</t>
        </is>
      </c>
    </row>
    <row r="19" ht="15.75" customHeight="1" thickBot="1">
      <c r="A19">
        <f>_xlfn.CONCAT(B19,,","," ",C19)</f>
        <v/>
      </c>
      <c r="B19" t="inlineStr">
        <is>
          <t>Avico</t>
        </is>
      </c>
      <c r="C19" t="inlineStr">
        <is>
          <t>Belén</t>
        </is>
      </c>
      <c r="D19" t="inlineStr">
        <is>
          <t>CORDOBA</t>
        </is>
      </c>
      <c r="E19" s="1" t="n">
        <v>45270</v>
      </c>
      <c r="F19" s="1" t="n">
        <v>46730</v>
      </c>
      <c r="G19" t="inlineStr">
        <is>
          <t>LA LIBERTAD AVANZA</t>
        </is>
      </c>
      <c r="H19" s="12" t="inlineStr">
        <is>
          <t>EDUCACION | CIENCIA, TECNOLOGIA E INNOVACION PRODUCTIVA | AGRICULTURA Y GANADERIA | ECONOMIAS Y DESARROLLO REGIONAL | PEQUEÑAS Y MEDIANAS EMPRESAS | DEFENSA DEL CONSUMIDOR, DEL USUARIO Y DE LA COMPETENCIA | MUJERES Y DIVERSIDAD</t>
        </is>
      </c>
      <c r="I19" t="inlineStr">
        <is>
          <t>AFIRMATIVO</t>
        </is>
      </c>
      <c r="J19" s="17" t="inlineStr">
        <is>
          <t>AFIRMATIVO</t>
        </is>
      </c>
      <c r="L19" t="inlineStr">
        <is>
          <t>AFIRMATIVO</t>
        </is>
      </c>
      <c r="M19" s="9" t="inlineStr">
        <is>
          <t>AFIRMATIVO</t>
        </is>
      </c>
      <c r="N19" s="17" t="inlineStr">
        <is>
          <t>AFIRMATIVO</t>
        </is>
      </c>
      <c r="O19" t="inlineStr">
        <is>
          <t>AFIRMATIVO</t>
        </is>
      </c>
      <c r="Q19" t="inlineStr">
        <is>
          <t>AFIRMATIVO</t>
        </is>
      </c>
      <c r="S19" t="inlineStr">
        <is>
          <t>AFIRMATIVO</t>
        </is>
      </c>
      <c r="V19" s="17" t="inlineStr">
        <is>
          <t>AFIRMATIVO</t>
        </is>
      </c>
      <c r="W19" s="17" t="inlineStr">
        <is>
          <t>AFIRMATIVO</t>
        </is>
      </c>
    </row>
    <row r="20" ht="15.75" customHeight="1" thickBot="1">
      <c r="A20">
        <f>_xlfn.CONCAT(B20,,","," ",C20)</f>
        <v/>
      </c>
      <c r="B20" t="inlineStr">
        <is>
          <t>Avila</t>
        </is>
      </c>
      <c r="C20" t="inlineStr">
        <is>
          <t>Fernanda</t>
        </is>
      </c>
      <c r="D20" t="inlineStr">
        <is>
          <t>CATAMARCA</t>
        </is>
      </c>
      <c r="E20" s="1" t="n">
        <v>45270</v>
      </c>
      <c r="F20" s="1" t="n">
        <v>46730</v>
      </c>
      <c r="G20" t="inlineStr">
        <is>
          <t>ELIJO CATAMARCA</t>
        </is>
      </c>
      <c r="H20" s="12" t="inlineStr">
        <is>
          <t>RECURSOS NATURALES Y CONSERVACION DEL AMBIENTE HUMANO</t>
        </is>
      </c>
      <c r="I20" t="inlineStr">
        <is>
          <t>AFIRMATIVO</t>
        </is>
      </c>
      <c r="J20" s="17" t="inlineStr">
        <is>
          <t>AFIRMATIVO</t>
        </is>
      </c>
      <c r="L20" t="inlineStr">
        <is>
          <t>NEGATIVO</t>
        </is>
      </c>
      <c r="M20" s="9" t="inlineStr">
        <is>
          <t>AFIRMATIVO</t>
        </is>
      </c>
      <c r="N20" s="17" t="inlineStr">
        <is>
          <t>NEGATIVO</t>
        </is>
      </c>
      <c r="O20" t="inlineStr">
        <is>
          <t>AFIRMATIVO</t>
        </is>
      </c>
      <c r="Q20" t="inlineStr">
        <is>
          <t>AFIRMATIVO</t>
        </is>
      </c>
      <c r="S20" t="inlineStr">
        <is>
          <t>ABSTENCION</t>
        </is>
      </c>
      <c r="V20" s="17" t="inlineStr">
        <is>
          <t>AUSENTE</t>
        </is>
      </c>
      <c r="W20" s="17" t="inlineStr">
        <is>
          <t>AUSENTE</t>
        </is>
      </c>
    </row>
    <row r="21" ht="15.75" customHeight="1" thickBot="1">
      <c r="A21">
        <f>_xlfn.CONCAT(B21,,","," ",C21)</f>
        <v/>
      </c>
      <c r="B21" t="inlineStr">
        <is>
          <t>Avila</t>
        </is>
      </c>
      <c r="C21" t="inlineStr">
        <is>
          <t>Jorge Antonio</t>
        </is>
      </c>
      <c r="D21" t="inlineStr">
        <is>
          <t>CHUBUT</t>
        </is>
      </c>
      <c r="E21" s="1" t="n">
        <v>45270</v>
      </c>
      <c r="F21" s="1" t="n">
        <v>46730</v>
      </c>
      <c r="G21" t="inlineStr">
        <is>
          <t>PROVINCIAS UNIDAS</t>
        </is>
      </c>
      <c r="H21" s="12" t="inlineStr">
        <is>
          <t>LEGISLACION DEL TRABAJO | ENERGIA Y COMBUSTIBLES</t>
        </is>
      </c>
      <c r="I21" t="inlineStr">
        <is>
          <t>ABSTENCIÓN</t>
        </is>
      </c>
      <c r="J21" s="17" t="inlineStr">
        <is>
          <t>AUSENTE</t>
        </is>
      </c>
      <c r="L21" t="inlineStr">
        <is>
          <t>NEGATIVO</t>
        </is>
      </c>
      <c r="M21" s="9" t="inlineStr">
        <is>
          <t>AFIRMATIVO</t>
        </is>
      </c>
      <c r="N21" s="17" t="inlineStr">
        <is>
          <t>AFIRMATIVO</t>
        </is>
      </c>
      <c r="O21" t="inlineStr">
        <is>
          <t>AFIRMATIVO</t>
        </is>
      </c>
      <c r="Q21" t="inlineStr">
        <is>
          <t>AFIRMATIVO</t>
        </is>
      </c>
      <c r="S21" t="inlineStr">
        <is>
          <t>AFIRMATIVO</t>
        </is>
      </c>
      <c r="V21" s="17" t="inlineStr">
        <is>
          <t>AUSENTE</t>
        </is>
      </c>
      <c r="W21" s="17" t="inlineStr">
        <is>
          <t>AUSENTE</t>
        </is>
      </c>
    </row>
    <row r="22" ht="15.75" customHeight="1" thickBot="1">
      <c r="A22">
        <f>_xlfn.CONCAT(B22,,","," ",C22)</f>
        <v/>
      </c>
      <c r="B22" t="inlineStr">
        <is>
          <t>Banfi</t>
        </is>
      </c>
      <c r="C22" t="inlineStr">
        <is>
          <t>Karina</t>
        </is>
      </c>
      <c r="D22" t="inlineStr">
        <is>
          <t>BUENOS AIRES</t>
        </is>
      </c>
      <c r="E22" s="1" t="n">
        <v>45270</v>
      </c>
      <c r="F22" s="1" t="n">
        <v>46730</v>
      </c>
      <c r="G22" t="inlineStr">
        <is>
          <t>ADELANTE BUENOS AIRES</t>
        </is>
      </c>
      <c r="H22" s="12" t="inlineStr">
        <is>
          <t>RELACIONES EXTERIORES Y CULTO | COMUNICACIONES E INFORMATICA | ASUNTOS MUNICIPALES | DERECHOS HUMANOS Y GARANTIAS</t>
        </is>
      </c>
      <c r="I22" t="inlineStr">
        <is>
          <t>AFIRMATIVO</t>
        </is>
      </c>
      <c r="J22" s="17" t="inlineStr">
        <is>
          <t>AFIRMATIVO</t>
        </is>
      </c>
      <c r="L22" t="inlineStr">
        <is>
          <t>AFIRMATIVO</t>
        </is>
      </c>
      <c r="M22" s="9" t="inlineStr">
        <is>
          <t>AFIRMATIVO</t>
        </is>
      </c>
      <c r="N22" s="17" t="inlineStr">
        <is>
          <t>AFIRMATIVO</t>
        </is>
      </c>
      <c r="O22" t="inlineStr">
        <is>
          <t>AFIRMATIVO</t>
        </is>
      </c>
      <c r="Q22" t="inlineStr">
        <is>
          <t>AFIRMATIVO</t>
        </is>
      </c>
      <c r="S22" t="inlineStr">
        <is>
          <t>NEGATIVO</t>
        </is>
      </c>
      <c r="V22" s="17" t="inlineStr">
        <is>
          <t>AFIRMATIVO</t>
        </is>
      </c>
      <c r="W22" s="17" t="inlineStr">
        <is>
          <t>AFIRMATIVO</t>
        </is>
      </c>
    </row>
    <row r="23" ht="15.75" customHeight="1" thickBot="1">
      <c r="A23">
        <f>_xlfn.CONCAT(B23,,","," ",C23)</f>
        <v/>
      </c>
      <c r="B23" t="inlineStr">
        <is>
          <t>Barbur</t>
        </is>
      </c>
      <c r="C23" t="inlineStr">
        <is>
          <t>Marcelo</t>
        </is>
      </c>
      <c r="D23" t="inlineStr">
        <is>
          <t>SANTIAGO DEL ESTERO</t>
        </is>
      </c>
      <c r="E23" s="1" t="n">
        <v>46001</v>
      </c>
      <c r="F23" s="1" t="n">
        <v>47461</v>
      </c>
      <c r="G23" t="inlineStr">
        <is>
          <t>UNIÓN POR LA PATRIA</t>
        </is>
      </c>
      <c r="H23" s="12" t="inlineStr">
        <is>
          <t>JUSTICIA | ACCION SOCIAL Y SALUD PUBLICA | OBRAS PUBLICAS | ASUNTOS MUNICIPALES | PREVENCION DE ADICCIONES Y CONTROL DEL NARCOTRAFICO | DEFENSA DEL CONSUMIDOR, DEL USUARIO Y DE LA COMPETENCIA | SEGURIDAD INTERIOR</t>
        </is>
      </c>
      <c r="I23" t="inlineStr">
        <is>
          <t>NEGATIVO</t>
        </is>
      </c>
      <c r="J23" s="17" t="inlineStr">
        <is>
          <t>NEGATIVO</t>
        </is>
      </c>
      <c r="L23" t="inlineStr">
        <is>
          <t>NEGATIVO</t>
        </is>
      </c>
      <c r="M23" s="9" t="inlineStr">
        <is>
          <t>NEGATIVO</t>
        </is>
      </c>
      <c r="N23" s="17" t="inlineStr">
        <is>
          <t>NEGATIVO</t>
        </is>
      </c>
      <c r="O23" t="inlineStr">
        <is>
          <t>AFIRMATIVO</t>
        </is>
      </c>
      <c r="Q23" t="inlineStr">
        <is>
          <t>NEGATIVO</t>
        </is>
      </c>
      <c r="S23" t="inlineStr">
        <is>
          <t>NEGATIVO</t>
        </is>
      </c>
      <c r="V23" s="17" t="inlineStr">
        <is>
          <t>NEGATIVO</t>
        </is>
      </c>
      <c r="W23" s="17" t="inlineStr">
        <is>
          <t>NEGATIVO</t>
        </is>
      </c>
    </row>
    <row r="24" ht="15.75" customHeight="1" thickBot="1">
      <c r="A24">
        <f>_xlfn.CONCAT(B24,,","," ",C24)</f>
        <v/>
      </c>
      <c r="B24" t="inlineStr">
        <is>
          <t>Basterra</t>
        </is>
      </c>
      <c r="C24" t="inlineStr">
        <is>
          <t>Luis Eugenio</t>
        </is>
      </c>
      <c r="D24" t="inlineStr">
        <is>
          <t>FORMOSA</t>
        </is>
      </c>
      <c r="E24" s="1" t="n">
        <v>45270</v>
      </c>
      <c r="F24" s="1" t="n">
        <v>46730</v>
      </c>
      <c r="G24" t="inlineStr">
        <is>
          <t>UNIÓN POR LA PATRIA</t>
        </is>
      </c>
      <c r="H24" s="12" t="inlineStr">
        <is>
          <t>AGRICULTURA Y GANADERIA | ECONOMIAS Y DESARROLLO REGIONAL | RECURSOS NATURALES Y CONSERVACION DEL AMBIENTE HUMANO | POBLACION Y DESARROLLO HUMANO | MERCOSUR</t>
        </is>
      </c>
      <c r="I24" t="inlineStr">
        <is>
          <t>NEGATIVO</t>
        </is>
      </c>
      <c r="J24" s="17" t="inlineStr">
        <is>
          <t>NEGATIVO</t>
        </is>
      </c>
      <c r="L24" t="inlineStr">
        <is>
          <t>NEGATIVO</t>
        </is>
      </c>
      <c r="M24" s="9" t="inlineStr">
        <is>
          <t>NEGATIVO</t>
        </is>
      </c>
      <c r="N24" s="17" t="inlineStr">
        <is>
          <t>NEGATIVO</t>
        </is>
      </c>
      <c r="O24" t="inlineStr">
        <is>
          <t>AFIRMATIVO</t>
        </is>
      </c>
      <c r="Q24" t="inlineStr">
        <is>
          <t>NEGATIVO</t>
        </is>
      </c>
      <c r="S24" t="inlineStr">
        <is>
          <t>NEGATIVO</t>
        </is>
      </c>
      <c r="V24" s="17" t="inlineStr">
        <is>
          <t>NEGATIVO</t>
        </is>
      </c>
      <c r="W24" s="17" t="inlineStr">
        <is>
          <t>NEGATIVO</t>
        </is>
      </c>
    </row>
    <row r="25" ht="15.75" customHeight="1" thickBot="1">
      <c r="A25">
        <f>_xlfn.CONCAT(B25,,","," ",C25)</f>
        <v/>
      </c>
      <c r="B25" t="inlineStr">
        <is>
          <t>BASUALDO</t>
        </is>
      </c>
      <c r="C25" t="inlineStr">
        <is>
          <t>ATILIO</t>
        </is>
      </c>
      <c r="D25" t="inlineStr">
        <is>
          <t>FORMOSA</t>
        </is>
      </c>
      <c r="E25" s="1" t="n">
        <v>45270</v>
      </c>
      <c r="F25" s="1" t="n">
        <v>47461</v>
      </c>
      <c r="G25" t="inlineStr">
        <is>
          <t>LA LIBERTAD AVANZA</t>
        </is>
      </c>
      <c r="H25" s="12" t="inlineStr">
        <is>
          <t>AGRICULTURA Y GANADERIA | TRANSPORTES | ASUNTOS MUNICIPALES | POBLACION Y DESARROLLO HUMANO | DERECHOS HUMANOS Y GARANTIAS | ASUNTOS COOPERATIVOS, MUTUALES Y ORGANIZACIONES NO GUBERNAMENTALES</t>
        </is>
      </c>
      <c r="I25" t="inlineStr">
        <is>
          <t>AFIRMATIVO</t>
        </is>
      </c>
      <c r="J25" s="17" t="inlineStr">
        <is>
          <t>AFIRMATIVO</t>
        </is>
      </c>
      <c r="L25" t="inlineStr">
        <is>
          <t>AFIRMATIVO</t>
        </is>
      </c>
      <c r="M25" s="9" t="inlineStr">
        <is>
          <t>AFIRMATIVO</t>
        </is>
      </c>
      <c r="N25" s="17" t="inlineStr">
        <is>
          <t>AFIRMATIVO</t>
        </is>
      </c>
      <c r="O25" t="inlineStr">
        <is>
          <t>AFIRMATIVO</t>
        </is>
      </c>
      <c r="Q25" t="inlineStr">
        <is>
          <t>AFIRMATIVO</t>
        </is>
      </c>
      <c r="S25" t="inlineStr">
        <is>
          <t>AFIRMATIVO</t>
        </is>
      </c>
      <c r="V25" s="17" t="inlineStr">
        <is>
          <t>AFIRMATIVO</t>
        </is>
      </c>
      <c r="W25" s="17" t="inlineStr">
        <is>
          <t>AFIRMATIVO</t>
        </is>
      </c>
    </row>
    <row r="26" ht="15.75" customHeight="1" thickBot="1">
      <c r="A26">
        <f>_xlfn.CONCAT(B26,,","," ",C26)</f>
        <v/>
      </c>
      <c r="B26" t="inlineStr">
        <is>
          <t>Basualdo</t>
        </is>
      </c>
      <c r="C26" t="inlineStr">
        <is>
          <t>Carolina</t>
        </is>
      </c>
      <c r="D26" t="inlineStr">
        <is>
          <t>CORDOBA</t>
        </is>
      </c>
      <c r="E26" s="1" t="n">
        <v>46001</v>
      </c>
      <c r="F26" s="1" t="n">
        <v>47461</v>
      </c>
      <c r="G26" t="inlineStr">
        <is>
          <t>PROVINCIAS UNIDAS</t>
        </is>
      </c>
      <c r="H26" s="12" t="inlineStr">
        <is>
          <t>ACCION SOCIAL Y SALUD PUBLICA | RECURSOS NATURALES Y CONSERVACION DEL AMBIENTE HUMANO | PEQUEÑAS Y MEDIANAS EMPRESAS</t>
        </is>
      </c>
      <c r="I26" t="inlineStr">
        <is>
          <t>ABSTENCIÓN</t>
        </is>
      </c>
      <c r="J26" s="17" t="inlineStr">
        <is>
          <t>NEGATIVO</t>
        </is>
      </c>
      <c r="L26" t="inlineStr">
        <is>
          <t>AFIRMATIVO</t>
        </is>
      </c>
      <c r="M26" s="9" t="inlineStr">
        <is>
          <t>NEGATIVO</t>
        </is>
      </c>
      <c r="N26" s="17" t="inlineStr">
        <is>
          <t>AFIRMATIVO</t>
        </is>
      </c>
      <c r="O26" t="inlineStr">
        <is>
          <t>AFIRMATIVO</t>
        </is>
      </c>
      <c r="Q26" t="inlineStr">
        <is>
          <t>ABSTENCION</t>
        </is>
      </c>
      <c r="S26" t="inlineStr">
        <is>
          <t>NEGATIVO</t>
        </is>
      </c>
      <c r="V26" s="17" t="inlineStr">
        <is>
          <t>NEGATIVO</t>
        </is>
      </c>
      <c r="W26" s="17" t="inlineStr">
        <is>
          <t>AFIRMATIVO</t>
        </is>
      </c>
    </row>
    <row r="27" ht="15.75" customHeight="1" thickBot="1">
      <c r="A27">
        <f>_xlfn.CONCAT(B27,,","," ",C27)</f>
        <v/>
      </c>
      <c r="B27" t="inlineStr">
        <is>
          <t>Becerra</t>
        </is>
      </c>
      <c r="C27" t="inlineStr">
        <is>
          <t>Mónica</t>
        </is>
      </c>
      <c r="D27" t="inlineStr">
        <is>
          <t>SAN LUIS</t>
        </is>
      </c>
      <c r="E27" s="1" t="n">
        <v>46001</v>
      </c>
      <c r="F27" s="1" t="n">
        <v>47461</v>
      </c>
      <c r="G27" t="inlineStr">
        <is>
          <t>LA LIBERTAD AVANZA</t>
        </is>
      </c>
      <c r="H27" s="12" t="inlineStr">
        <is>
          <t>PRESUPUESTO Y HACIENDA | PREVISION Y SEGURIDAD SOCIAL | ACCION SOCIAL Y SALUD PUBLICA | DE LAS PERSONAS MAYORES | INDUSTRIA | ECONOMIAS Y DESARROLLO REGIONAL | ASUNTOS COOPERATIVOS, MUTUALES Y ORGANIZACIONES NO GUBERNAMENTALES | DISCAPACIDAD</t>
        </is>
      </c>
      <c r="I27" t="inlineStr">
        <is>
          <t>AFIRMATIVO</t>
        </is>
      </c>
      <c r="J27" s="17" t="inlineStr">
        <is>
          <t>AFIRMATIVO</t>
        </is>
      </c>
      <c r="L27" t="inlineStr">
        <is>
          <t>AFIRMATIVO</t>
        </is>
      </c>
      <c r="M27" s="9" t="inlineStr">
        <is>
          <t>AFIRMATIVO</t>
        </is>
      </c>
      <c r="N27" s="17" t="inlineStr">
        <is>
          <t>AFIRMATIVO</t>
        </is>
      </c>
      <c r="O27" t="inlineStr">
        <is>
          <t>AFIRMATIVO</t>
        </is>
      </c>
      <c r="Q27" t="inlineStr">
        <is>
          <t>AFIRMATIVO</t>
        </is>
      </c>
      <c r="S27" t="inlineStr">
        <is>
          <t>AFIRMATIVO</t>
        </is>
      </c>
      <c r="V27" s="17" t="inlineStr">
        <is>
          <t>AFIRMATIVO</t>
        </is>
      </c>
      <c r="W27" s="17" t="inlineStr">
        <is>
          <t>AFIRMATIVO</t>
        </is>
      </c>
    </row>
    <row r="28" ht="15.75" customHeight="1" thickBot="1">
      <c r="A28">
        <f>_xlfn.CONCAT(B28,,","," ",C28)</f>
        <v/>
      </c>
      <c r="B28" t="inlineStr">
        <is>
          <t>Benedit</t>
        </is>
      </c>
      <c r="C28" t="inlineStr">
        <is>
          <t>Beltrán</t>
        </is>
      </c>
      <c r="D28" t="inlineStr">
        <is>
          <t>ENTRE RIOS</t>
        </is>
      </c>
      <c r="E28" s="1" t="n">
        <v>45270</v>
      </c>
      <c r="F28" s="1" t="n">
        <v>46730</v>
      </c>
      <c r="G28" t="inlineStr">
        <is>
          <t>LA LIBERTAD AVANZA</t>
        </is>
      </c>
      <c r="H28" s="12" t="inlineStr">
        <is>
          <t>ACCION SOCIAL Y SALUD PUBLICA | DEFENSA NACIONAL | AGRICULTURA Y GANADERIA | INTERESES MARITIMOS, FLUVIALES, PESQUEROS Y PORTUARIOS | DEPORTES</t>
        </is>
      </c>
      <c r="I28" t="inlineStr">
        <is>
          <t>AFIRMATIVO</t>
        </is>
      </c>
      <c r="J28" s="17" t="inlineStr">
        <is>
          <t>AFIRMATIVO</t>
        </is>
      </c>
      <c r="L28" t="inlineStr">
        <is>
          <t>AFIRMATIVO</t>
        </is>
      </c>
      <c r="M28" s="9" t="inlineStr">
        <is>
          <t>AFIRMATIVO</t>
        </is>
      </c>
      <c r="N28" s="17" t="inlineStr">
        <is>
          <t>AFIRMATIVO</t>
        </is>
      </c>
      <c r="O28" t="inlineStr">
        <is>
          <t>AFIRMATIVO</t>
        </is>
      </c>
      <c r="Q28" t="inlineStr">
        <is>
          <t>AFIRMATIVO</t>
        </is>
      </c>
      <c r="S28" t="inlineStr">
        <is>
          <t>AFIRMATIVO</t>
        </is>
      </c>
      <c r="V28" s="17" t="inlineStr">
        <is>
          <t>AUSENTE</t>
        </is>
      </c>
      <c r="W28" s="17" t="inlineStr">
        <is>
          <t>AUSENTE</t>
        </is>
      </c>
    </row>
    <row r="29" ht="15.75" customHeight="1" thickBot="1">
      <c r="A29">
        <f>_xlfn.CONCAT(B29,,","," ",C29)</f>
        <v/>
      </c>
      <c r="B29" t="inlineStr">
        <is>
          <t>Benegas Lynch</t>
        </is>
      </c>
      <c r="C29" t="inlineStr">
        <is>
          <t>Bertie</t>
        </is>
      </c>
      <c r="D29" t="inlineStr">
        <is>
          <t>BUENOS AIRES</t>
        </is>
      </c>
      <c r="E29" s="1" t="n">
        <v>45270</v>
      </c>
      <c r="F29" s="1" t="n">
        <v>46730</v>
      </c>
      <c r="G29" t="inlineStr">
        <is>
          <t>LA LIBERTAD AVANZA</t>
        </is>
      </c>
      <c r="H29" s="12" t="inlineStr">
        <is>
          <t>PRESUPUESTO Y HACIENDA | FINANZAS | JUICIO POLITICO</t>
        </is>
      </c>
      <c r="I29" t="inlineStr">
        <is>
          <t>AFIRMATIVO</t>
        </is>
      </c>
      <c r="J29" s="17" t="inlineStr">
        <is>
          <t>AFIRMATIVO</t>
        </is>
      </c>
      <c r="L29" t="inlineStr">
        <is>
          <t>AFIRMATIVO</t>
        </is>
      </c>
      <c r="M29" s="9" t="inlineStr">
        <is>
          <t>AFIRMATIVO</t>
        </is>
      </c>
      <c r="N29" s="17" t="inlineStr">
        <is>
          <t>AFIRMATIVO</t>
        </is>
      </c>
      <c r="O29" t="inlineStr">
        <is>
          <t>AFIRMATIVO</t>
        </is>
      </c>
      <c r="Q29" t="inlineStr">
        <is>
          <t>AFIRMATIVO</t>
        </is>
      </c>
      <c r="S29" t="inlineStr">
        <is>
          <t>AFIRMATIVO</t>
        </is>
      </c>
      <c r="V29" s="17" t="inlineStr">
        <is>
          <t>AFIRMATIVO</t>
        </is>
      </c>
      <c r="W29" s="17" t="inlineStr">
        <is>
          <t>AFIRMATIVO</t>
        </is>
      </c>
    </row>
    <row r="30" ht="15.75" customHeight="1" thickBot="1">
      <c r="A30">
        <f>_xlfn.CONCAT(B30,,","," ",C30)</f>
        <v/>
      </c>
      <c r="B30" t="inlineStr">
        <is>
          <t>Bianchetti</t>
        </is>
      </c>
      <c r="C30" t="inlineStr">
        <is>
          <t>Emmanuel</t>
        </is>
      </c>
      <c r="D30" t="inlineStr">
        <is>
          <t>MISIONES</t>
        </is>
      </c>
      <c r="E30" s="1" t="n">
        <v>45270</v>
      </c>
      <c r="F30" s="1" t="n">
        <v>46730</v>
      </c>
      <c r="G30" t="inlineStr">
        <is>
          <t>PRO</t>
        </is>
      </c>
      <c r="H30" s="12" t="inlineStr">
        <is>
          <t>ASUNTOS CONSTITUCIONALES | LEGISLACION GENERAL | OBRAS PUBLICAS | ECONOMIAS Y DESARROLLO REGIONAL | TURISMO | ASUNTOS COOPERATIVOS, MUTUALES Y ORGANIZACIONES NO GUBERNAMENTALES | MERCOSUR</t>
        </is>
      </c>
      <c r="I30" t="inlineStr">
        <is>
          <t>AFIRMATIVO</t>
        </is>
      </c>
      <c r="J30" s="17" t="inlineStr">
        <is>
          <t>AFIRMATIVO</t>
        </is>
      </c>
      <c r="L30" t="inlineStr">
        <is>
          <t>AFIRMATIVO</t>
        </is>
      </c>
      <c r="M30" s="9" t="inlineStr">
        <is>
          <t>AFIRMATIVO</t>
        </is>
      </c>
      <c r="N30" s="17" t="inlineStr">
        <is>
          <t>AFIRMATIVO</t>
        </is>
      </c>
      <c r="O30" t="inlineStr">
        <is>
          <t>AFIRMATIVO</t>
        </is>
      </c>
      <c r="Q30" t="inlineStr">
        <is>
          <t>AFIRMATIVO</t>
        </is>
      </c>
      <c r="S30" t="inlineStr">
        <is>
          <t>AFIRMATIVO</t>
        </is>
      </c>
      <c r="V30" s="17" t="inlineStr">
        <is>
          <t>AFIRMATIVO</t>
        </is>
      </c>
      <c r="W30" s="17" t="inlineStr">
        <is>
          <t>AFIRMATIVO</t>
        </is>
      </c>
    </row>
    <row r="31" ht="15.75" customHeight="1" thickBot="1">
      <c r="A31">
        <f>_xlfn.CONCAT(B31,,","," ",C31)</f>
        <v/>
      </c>
      <c r="B31" t="inlineStr">
        <is>
          <t>Biella</t>
        </is>
      </c>
      <c r="C31" t="inlineStr">
        <is>
          <t>Bernardo</t>
        </is>
      </c>
      <c r="D31" t="inlineStr">
        <is>
          <t>SALTA</t>
        </is>
      </c>
      <c r="E31" s="1" t="n">
        <v>46001</v>
      </c>
      <c r="F31" s="1" t="n">
        <v>47461</v>
      </c>
      <c r="G31" t="inlineStr">
        <is>
          <t>INNOVACIÓN FEDERAL</t>
        </is>
      </c>
      <c r="H31" s="12" t="inlineStr">
        <is>
          <t>ACCION SOCIAL Y SALUD PUBLICA | DE LAS PERSONAS MAYORES | FINANZAS | PREVENCION DE ADICCIONES Y CONTROL DEL NARCOTRAFICO | DERECHOS HUMANOS Y GARANTIAS | DISCAPACIDAD</t>
        </is>
      </c>
      <c r="I31" t="inlineStr">
        <is>
          <t>AFIRMATIVO</t>
        </is>
      </c>
      <c r="J31" s="17" t="inlineStr">
        <is>
          <t>AUSENTE</t>
        </is>
      </c>
      <c r="L31" t="inlineStr">
        <is>
          <t>AFIRMATIVO</t>
        </is>
      </c>
      <c r="M31" s="9" t="inlineStr">
        <is>
          <t>AFIRMATIVO</t>
        </is>
      </c>
      <c r="N31" s="17" t="inlineStr">
        <is>
          <t>AFIRMATIVO</t>
        </is>
      </c>
      <c r="O31" t="inlineStr">
        <is>
          <t>AFIRMATIVO</t>
        </is>
      </c>
      <c r="Q31" t="inlineStr">
        <is>
          <t>AFIRMATIVO</t>
        </is>
      </c>
      <c r="S31" t="inlineStr">
        <is>
          <t>NEGATIVO</t>
        </is>
      </c>
      <c r="V31" s="17" t="inlineStr">
        <is>
          <t>AFIRMATIVO</t>
        </is>
      </c>
      <c r="W31" s="17" t="inlineStr">
        <is>
          <t>AFIRMATIVO</t>
        </is>
      </c>
    </row>
    <row r="32" ht="15.75" customHeight="1" thickBot="1">
      <c r="A32">
        <f>_xlfn.CONCAT(B32,,","," ",C32)</f>
        <v/>
      </c>
      <c r="B32" t="inlineStr">
        <is>
          <t>Bonacci</t>
        </is>
      </c>
      <c r="C32" t="inlineStr">
        <is>
          <t>Rocío</t>
        </is>
      </c>
      <c r="D32" t="inlineStr">
        <is>
          <t>SANTA FE</t>
        </is>
      </c>
      <c r="E32" s="1" t="n">
        <v>45270</v>
      </c>
      <c r="F32" s="1" t="n">
        <v>46730</v>
      </c>
      <c r="G32" t="inlineStr">
        <is>
          <t>LA LIBERTAD AVANZA</t>
        </is>
      </c>
      <c r="H32" s="12" t="inlineStr">
        <is>
          <t>Sin comisiones asignadas</t>
        </is>
      </c>
      <c r="I32" t="inlineStr">
        <is>
          <t>AFIRMATIVO</t>
        </is>
      </c>
      <c r="J32" s="17" t="inlineStr">
        <is>
          <t>AFIRMATIVO</t>
        </is>
      </c>
      <c r="L32" t="inlineStr">
        <is>
          <t>AFIRMATIVO</t>
        </is>
      </c>
      <c r="M32" s="9" t="inlineStr">
        <is>
          <t>AUSENTE</t>
        </is>
      </c>
      <c r="N32" s="17" t="inlineStr">
        <is>
          <t>AFIRMATIVO</t>
        </is>
      </c>
      <c r="O32" t="inlineStr">
        <is>
          <t>AFIRMATIVO</t>
        </is>
      </c>
      <c r="Q32" t="inlineStr">
        <is>
          <t>AUSENTE</t>
        </is>
      </c>
      <c r="S32" t="inlineStr">
        <is>
          <t>AUSENTE</t>
        </is>
      </c>
      <c r="V32" s="17" t="inlineStr">
        <is>
          <t>AFIRMATIVO</t>
        </is>
      </c>
      <c r="W32" s="17" t="inlineStr">
        <is>
          <t>AFIRMATIVO</t>
        </is>
      </c>
    </row>
    <row r="33" ht="15.75" customHeight="1" thickBot="1">
      <c r="A33">
        <f>_xlfn.CONCAT(B33,,","," ",C33)</f>
        <v/>
      </c>
      <c r="B33" t="inlineStr">
        <is>
          <t>Bongiovanni</t>
        </is>
      </c>
      <c r="C33" t="inlineStr">
        <is>
          <t>Alejandro</t>
        </is>
      </c>
      <c r="D33" t="inlineStr">
        <is>
          <t>SANTA FE</t>
        </is>
      </c>
      <c r="E33" s="1" t="n">
        <v>45270</v>
      </c>
      <c r="F33" s="1" t="n">
        <v>46730</v>
      </c>
      <c r="G33" t="inlineStr">
        <is>
          <t>LA LIBERTAD AVANZA</t>
        </is>
      </c>
      <c r="H33" s="12" t="inlineStr">
        <is>
          <t>ASUNTOS CONSTITUCIONALES | LEGISLACION PENAL | DEFENSA NACIONAL | COMERCIO | INTERESES MARITIMOS, FLUVIALES, PESQUEROS Y PORTUARIOS | PETICIONES, PODERES Y REGLAMENTO | DERECHOS HUMANOS Y GARANTIAS | SEGURIDAD INTERIOR</t>
        </is>
      </c>
      <c r="I33" t="inlineStr">
        <is>
          <t>AFIRMATIVO</t>
        </is>
      </c>
      <c r="J33" s="17" t="inlineStr">
        <is>
          <t>AFIRMATIVO</t>
        </is>
      </c>
      <c r="L33" t="inlineStr">
        <is>
          <t>AFIRMATIVO</t>
        </is>
      </c>
      <c r="M33" s="9" t="inlineStr">
        <is>
          <t>AFIRMATIVO</t>
        </is>
      </c>
      <c r="N33" s="17" t="inlineStr">
        <is>
          <t>AFIRMATIVO</t>
        </is>
      </c>
      <c r="O33" t="inlineStr">
        <is>
          <t>AFIRMATIVO</t>
        </is>
      </c>
      <c r="Q33" t="inlineStr">
        <is>
          <t>AFIRMATIVO</t>
        </is>
      </c>
      <c r="S33" t="inlineStr">
        <is>
          <t>AFIRMATIVO</t>
        </is>
      </c>
      <c r="V33" s="17" t="inlineStr">
        <is>
          <t>AFIRMATIVO</t>
        </is>
      </c>
      <c r="W33" s="17" t="inlineStr">
        <is>
          <t>AFIRMATIVO</t>
        </is>
      </c>
    </row>
    <row r="34" ht="15.75" customHeight="1" thickBot="1">
      <c r="A34">
        <f>_xlfn.CONCAT(B34,,","," ",C34)</f>
        <v/>
      </c>
      <c r="B34" t="inlineStr">
        <is>
          <t>Bordet</t>
        </is>
      </c>
      <c r="C34" t="inlineStr">
        <is>
          <t>Gustavo</t>
        </is>
      </c>
      <c r="D34" t="inlineStr">
        <is>
          <t>ENTRE RIOS</t>
        </is>
      </c>
      <c r="E34" s="1" t="n">
        <v>45270</v>
      </c>
      <c r="F34" s="1" t="n">
        <v>46730</v>
      </c>
      <c r="G34" t="inlineStr">
        <is>
          <t>UNIÓN POR LA PATRIA</t>
        </is>
      </c>
      <c r="H34" s="12" t="inlineStr">
        <is>
          <t>PRESUPUESTO Y HACIENDA | AGRICULTURA Y GANADERIA | FINANZAS | INDUSTRIA | COMERCIO | ECONOMIA | ANALISIS Y SEGUIMIENTO DEL CUMPLIMIENTO DE NORMAS TRIBUTARIAS Y PREVISIONALES</t>
        </is>
      </c>
      <c r="I34" t="inlineStr">
        <is>
          <t>NEGATIVO</t>
        </is>
      </c>
      <c r="J34" s="17" t="inlineStr">
        <is>
          <t>NEGATIVO</t>
        </is>
      </c>
      <c r="L34" t="inlineStr">
        <is>
          <t>NEGATIVO</t>
        </is>
      </c>
      <c r="M34" s="9" t="inlineStr">
        <is>
          <t>NEGATIVO</t>
        </is>
      </c>
      <c r="N34" s="17" t="inlineStr">
        <is>
          <t>NEGATIVO</t>
        </is>
      </c>
      <c r="O34" t="inlineStr">
        <is>
          <t>AFIRMATIVO</t>
        </is>
      </c>
      <c r="Q34" t="inlineStr">
        <is>
          <t>NEGATIVO</t>
        </is>
      </c>
      <c r="S34" t="inlineStr">
        <is>
          <t>NEGATIVO</t>
        </is>
      </c>
      <c r="V34" s="17" t="inlineStr">
        <is>
          <t>NEGATIVO</t>
        </is>
      </c>
      <c r="W34" s="17" t="inlineStr">
        <is>
          <t>NEGATIVO</t>
        </is>
      </c>
    </row>
    <row r="35" ht="15.75" customHeight="1" thickBot="1">
      <c r="A35">
        <f>_xlfn.CONCAT(B35,,","," ",C35)</f>
        <v/>
      </c>
      <c r="B35" t="inlineStr">
        <is>
          <t>Borgatta</t>
        </is>
      </c>
      <c r="C35" t="inlineStr">
        <is>
          <t>Alejandrina</t>
        </is>
      </c>
      <c r="D35" t="inlineStr">
        <is>
          <t>SANTA FE</t>
        </is>
      </c>
      <c r="E35" s="1" t="n">
        <v>46001</v>
      </c>
      <c r="F35" s="1" t="n">
        <v>47461</v>
      </c>
      <c r="G35" t="inlineStr">
        <is>
          <t>UNIÓN POR LA PATRIA</t>
        </is>
      </c>
      <c r="H35" s="12" t="inlineStr">
        <is>
          <t>CULTURA | AGRICULTURA Y GANADERIA | INDUSTRIA | ASUNTOS MUNICIPALES | PEQUEÑAS Y MEDIANAS EMPRESAS</t>
        </is>
      </c>
      <c r="I35" t="inlineStr">
        <is>
          <t>NEGATIVO</t>
        </is>
      </c>
      <c r="J35" s="17" t="inlineStr">
        <is>
          <t>NEGATIVO</t>
        </is>
      </c>
      <c r="L35" t="inlineStr">
        <is>
          <t>NEGATIVO</t>
        </is>
      </c>
      <c r="M35" s="9" t="inlineStr">
        <is>
          <t>NEGATIVO</t>
        </is>
      </c>
      <c r="N35" s="17" t="inlineStr">
        <is>
          <t>NEGATIVO</t>
        </is>
      </c>
      <c r="O35" t="inlineStr">
        <is>
          <t>NEGATIVO</t>
        </is>
      </c>
      <c r="Q35" t="inlineStr">
        <is>
          <t>NEGATIVO</t>
        </is>
      </c>
      <c r="S35" t="inlineStr">
        <is>
          <t>NEGATIVO</t>
        </is>
      </c>
      <c r="V35" s="17" t="inlineStr">
        <is>
          <t>NEGATIVO</t>
        </is>
      </c>
      <c r="W35" s="17" t="inlineStr">
        <is>
          <t>NEGATIVO</t>
        </is>
      </c>
    </row>
    <row r="36" ht="15.75" customHeight="1" thickBot="1">
      <c r="A36">
        <f>_xlfn.CONCAT(B36,,","," ",C36)</f>
        <v/>
      </c>
      <c r="B36" t="inlineStr">
        <is>
          <t>Bornoroni</t>
        </is>
      </c>
      <c r="C36" t="inlineStr">
        <is>
          <t>Gabriel</t>
        </is>
      </c>
      <c r="D36" t="inlineStr">
        <is>
          <t>CORDOBA</t>
        </is>
      </c>
      <c r="E36" s="1" t="n">
        <v>45270</v>
      </c>
      <c r="F36" s="1" t="n">
        <v>46730</v>
      </c>
      <c r="G36" t="inlineStr">
        <is>
          <t>LA LIBERTAD AVANZA</t>
        </is>
      </c>
      <c r="H36" s="12" t="inlineStr">
        <is>
          <t>JUICIO POLITICO</t>
        </is>
      </c>
      <c r="I36" t="inlineStr">
        <is>
          <t>AFIRMATIVO</t>
        </is>
      </c>
      <c r="J36" s="17" t="inlineStr">
        <is>
          <t>AFIRMATIVO</t>
        </is>
      </c>
      <c r="L36" t="inlineStr">
        <is>
          <t>AFIRMATIVO</t>
        </is>
      </c>
      <c r="M36" s="9" t="inlineStr">
        <is>
          <t>AFIRMATIVO</t>
        </is>
      </c>
      <c r="N36" s="17" t="inlineStr">
        <is>
          <t>AFIRMATIVO</t>
        </is>
      </c>
      <c r="O36" t="inlineStr">
        <is>
          <t>AFIRMATIVO</t>
        </is>
      </c>
      <c r="Q36" t="inlineStr">
        <is>
          <t>AFIRMATIVO</t>
        </is>
      </c>
      <c r="S36" t="inlineStr">
        <is>
          <t>AFIRMATIVO</t>
        </is>
      </c>
      <c r="V36" s="17" t="inlineStr">
        <is>
          <t>AFIRMATIVO</t>
        </is>
      </c>
      <c r="W36" s="17" t="inlineStr">
        <is>
          <t>AFIRMATIVO</t>
        </is>
      </c>
    </row>
    <row r="37" ht="15.75" customHeight="1" thickBot="1">
      <c r="A37">
        <f>_xlfn.CONCAT(B37,,","," ",C37)</f>
        <v/>
      </c>
      <c r="B37" t="inlineStr">
        <is>
          <t>Bregman</t>
        </is>
      </c>
      <c r="C37" t="inlineStr">
        <is>
          <t>Myriam</t>
        </is>
      </c>
      <c r="D37" t="inlineStr">
        <is>
          <t>CIUDAD DE BUENOS AIRES</t>
        </is>
      </c>
      <c r="E37" s="1" t="n">
        <v>46001</v>
      </c>
      <c r="F37" s="1" t="n">
        <v>47461</v>
      </c>
      <c r="G37" t="inlineStr">
        <is>
          <t>FRENTE DE IZQUIERDA Y DE TRABAJADORES UNIDAD</t>
        </is>
      </c>
      <c r="H37" s="12" t="inlineStr">
        <is>
          <t>CULTURA | LEGISLACION PENAL | MUJERES Y DIVERSIDAD</t>
        </is>
      </c>
      <c r="I37" t="inlineStr">
        <is>
          <t>NEGATIVO</t>
        </is>
      </c>
      <c r="J37" s="17" t="inlineStr">
        <is>
          <t>NEGATIVO</t>
        </is>
      </c>
      <c r="L37" t="inlineStr">
        <is>
          <t>NEGATIVO</t>
        </is>
      </c>
      <c r="M37" s="9" t="inlineStr">
        <is>
          <t>NEGATIVO</t>
        </is>
      </c>
      <c r="N37" s="17" t="inlineStr">
        <is>
          <t>NEGATIVO</t>
        </is>
      </c>
      <c r="O37" t="inlineStr">
        <is>
          <t>NEGATIVO</t>
        </is>
      </c>
      <c r="Q37" t="inlineStr">
        <is>
          <t>NEGATIVO</t>
        </is>
      </c>
      <c r="S37" t="inlineStr">
        <is>
          <t>NEGATIVO</t>
        </is>
      </c>
      <c r="V37" s="17" t="inlineStr">
        <is>
          <t>NEGATIVO</t>
        </is>
      </c>
      <c r="W37" s="17" t="inlineStr">
        <is>
          <t>NEGATIVO</t>
        </is>
      </c>
    </row>
    <row r="38" ht="15.75" customHeight="1" thickBot="1">
      <c r="A38">
        <f>_xlfn.CONCAT(B38,,","," ",C38)</f>
        <v/>
      </c>
      <c r="B38" t="inlineStr">
        <is>
          <t>Brizuela</t>
        </is>
      </c>
      <c r="C38" t="inlineStr">
        <is>
          <t>Adrián</t>
        </is>
      </c>
      <c r="D38" t="inlineStr">
        <is>
          <t>CATAMARCA</t>
        </is>
      </c>
      <c r="E38" s="1" t="n">
        <v>46001</v>
      </c>
      <c r="F38" s="1" t="n">
        <v>47461</v>
      </c>
      <c r="G38" t="inlineStr">
        <is>
          <t>LA LIBERTAD AVANZA</t>
        </is>
      </c>
      <c r="H38" s="12" t="inlineStr">
        <is>
          <t>ASUNTOS CONSTITUCIONALES | LEGISLACION GENERAL | EDUCACION | CULTURA | ANALISIS Y SEGUIMIENTO DEL CUMPLIMIENTO DE NORMAS TRIBUTARIAS Y PREVISIONALES | MERCOSUR</t>
        </is>
      </c>
      <c r="I38" t="inlineStr">
        <is>
          <t>AFIRMATIVO</t>
        </is>
      </c>
      <c r="J38" s="17" t="inlineStr">
        <is>
          <t>AFIRMATIVO</t>
        </is>
      </c>
      <c r="L38" t="inlineStr">
        <is>
          <t>AFIRMATIVO</t>
        </is>
      </c>
      <c r="M38" s="9" t="inlineStr">
        <is>
          <t>AFIRMATIVO</t>
        </is>
      </c>
      <c r="N38" s="17" t="inlineStr">
        <is>
          <t>AFIRMATIVO</t>
        </is>
      </c>
      <c r="O38" t="inlineStr">
        <is>
          <t>AFIRMATIVO</t>
        </is>
      </c>
      <c r="Q38" t="inlineStr">
        <is>
          <t>AFIRMATIVO</t>
        </is>
      </c>
      <c r="S38" t="inlineStr">
        <is>
          <t>AFIRMATIVO</t>
        </is>
      </c>
      <c r="V38" s="17" t="inlineStr">
        <is>
          <t>AFIRMATIVO</t>
        </is>
      </c>
      <c r="W38" s="17" t="inlineStr">
        <is>
          <t>AFIRMATIVO</t>
        </is>
      </c>
    </row>
    <row r="39" ht="15.75" customHeight="1" thickBot="1">
      <c r="A39">
        <f>_xlfn.CONCAT(B39,,","," ",C39)</f>
        <v/>
      </c>
      <c r="B39" t="inlineStr">
        <is>
          <t>Brügge</t>
        </is>
      </c>
      <c r="C39" t="inlineStr">
        <is>
          <t>Juan Fernando</t>
        </is>
      </c>
      <c r="D39" t="inlineStr">
        <is>
          <t>CORDOBA</t>
        </is>
      </c>
      <c r="E39" s="1" t="n">
        <v>45270</v>
      </c>
      <c r="F39" s="1" t="n">
        <v>46730</v>
      </c>
      <c r="G39" t="inlineStr">
        <is>
          <t>PROVINCIAS UNIDAS</t>
        </is>
      </c>
      <c r="H39" s="12" t="inlineStr">
        <is>
          <t>ASUNTOS CONSTITUCIONALES | JUSTICIA | LEGISLACION PENAL | COMERCIO | COMUNICACIONES E INFORMATICA | ASUNTOS MUNICIPALES | PETICIONES, PODERES Y REGLAMENTO | JUICIO POLITICO</t>
        </is>
      </c>
      <c r="I39" t="inlineStr">
        <is>
          <t>ABSTENCIÓN</t>
        </is>
      </c>
      <c r="J39" s="17" t="inlineStr">
        <is>
          <t>NEGATIVO</t>
        </is>
      </c>
      <c r="L39" t="inlineStr">
        <is>
          <t>NEGATIVO</t>
        </is>
      </c>
      <c r="M39" s="9" t="inlineStr">
        <is>
          <t>NEGATIVO</t>
        </is>
      </c>
      <c r="N39" s="17" t="inlineStr">
        <is>
          <t>AFIRMATIVO</t>
        </is>
      </c>
      <c r="O39" t="inlineStr">
        <is>
          <t>AFIRMATIVO</t>
        </is>
      </c>
      <c r="Q39" t="inlineStr">
        <is>
          <t>NEGATIVO</t>
        </is>
      </c>
      <c r="S39" t="inlineStr">
        <is>
          <t>NEGATIVO</t>
        </is>
      </c>
      <c r="V39" s="17" t="inlineStr">
        <is>
          <t>NEGATIVO</t>
        </is>
      </c>
      <c r="W39" s="17" t="inlineStr">
        <is>
          <t>AFIRMATIVO</t>
        </is>
      </c>
    </row>
    <row r="40" ht="15.75" customHeight="1" thickBot="1">
      <c r="A40">
        <f>_xlfn.CONCAT(B40,,","," ",C40)</f>
        <v/>
      </c>
      <c r="B40" t="inlineStr">
        <is>
          <t>Bruno</t>
        </is>
      </c>
      <c r="C40" t="inlineStr">
        <is>
          <t>Eliana</t>
        </is>
      </c>
      <c r="D40" t="inlineStr">
        <is>
          <t>SALTA</t>
        </is>
      </c>
      <c r="E40" s="1" t="n">
        <v>46001</v>
      </c>
      <c r="F40" s="1" t="n">
        <v>46730</v>
      </c>
      <c r="G40" t="inlineStr">
        <is>
          <t>LA LIBERTAD AVANZA</t>
        </is>
      </c>
      <c r="H40" s="12" t="inlineStr">
        <is>
          <t>CULTURA | ACCION SOCIAL Y SALUD PUBLICA | FAMILIAS, NIÑEZ Y JUVENTUDES | DE LAS PERSONAS MAYORES | COMERCIO | PREVENCION DE ADICCIONES Y CONTROL DEL NARCOTRAFICO | DERECHOS HUMANOS Y GARANTIAS</t>
        </is>
      </c>
      <c r="I40" t="inlineStr">
        <is>
          <t>AFIRMATIVO</t>
        </is>
      </c>
      <c r="J40" s="17" t="inlineStr">
        <is>
          <t>AFIRMATIVO</t>
        </is>
      </c>
      <c r="L40" t="inlineStr">
        <is>
          <t>AFIRMATIVO</t>
        </is>
      </c>
      <c r="M40" s="9" t="inlineStr">
        <is>
          <t>AFIRMATIVO</t>
        </is>
      </c>
      <c r="N40" s="17" t="inlineStr">
        <is>
          <t>AFIRMATIVO</t>
        </is>
      </c>
      <c r="O40" t="inlineStr">
        <is>
          <t>AFIRMATIVO</t>
        </is>
      </c>
      <c r="Q40" t="inlineStr">
        <is>
          <t>AFIRMATIVO</t>
        </is>
      </c>
      <c r="S40" t="inlineStr">
        <is>
          <t>AFIRMATIVO</t>
        </is>
      </c>
      <c r="V40" s="17" t="inlineStr">
        <is>
          <t>AFIRMATIVO</t>
        </is>
      </c>
      <c r="W40" s="17" t="inlineStr">
        <is>
          <t>AFIRMATIVO</t>
        </is>
      </c>
    </row>
    <row r="41" ht="15.75" customHeight="1" thickBot="1">
      <c r="A41">
        <f>_xlfn.CONCAT(B41,,","," ",C41)</f>
        <v/>
      </c>
      <c r="B41" t="inlineStr">
        <is>
          <t>Cafiero</t>
        </is>
      </c>
      <c r="C41" t="inlineStr">
        <is>
          <t>Santiago</t>
        </is>
      </c>
      <c r="D41" t="inlineStr">
        <is>
          <t>BUENOS AIRES</t>
        </is>
      </c>
      <c r="E41" s="1" t="n">
        <v>45270</v>
      </c>
      <c r="F41" s="1" t="n">
        <v>46730</v>
      </c>
      <c r="G41" t="inlineStr">
        <is>
          <t>UNIÓN POR LA PATRIA</t>
        </is>
      </c>
      <c r="H41" s="12" t="inlineStr">
        <is>
          <t>RELACIONES EXTERIORES Y CULTO | LEGISLACION PENAL | FINANZAS | ECONOMIA | MERCOSUR | PEQUEÑAS Y MEDIANAS EMPRESAS</t>
        </is>
      </c>
      <c r="I41" t="inlineStr">
        <is>
          <t>NEGATIVO</t>
        </is>
      </c>
      <c r="J41" s="17" t="inlineStr">
        <is>
          <t>NEGATIVO</t>
        </is>
      </c>
      <c r="L41" t="inlineStr">
        <is>
          <t>NEGATIVO</t>
        </is>
      </c>
      <c r="M41" s="9" t="inlineStr">
        <is>
          <t>NEGATIVO</t>
        </is>
      </c>
      <c r="N41" s="17" t="inlineStr">
        <is>
          <t>NEGATIVO</t>
        </is>
      </c>
      <c r="O41" t="inlineStr">
        <is>
          <t>NEGATIVO</t>
        </is>
      </c>
      <c r="Q41" t="inlineStr">
        <is>
          <t>NEGATIVO</t>
        </is>
      </c>
      <c r="S41" t="inlineStr">
        <is>
          <t>NEGATIVO</t>
        </is>
      </c>
      <c r="V41" s="17" t="inlineStr">
        <is>
          <t>NEGATIVO</t>
        </is>
      </c>
      <c r="W41" s="17" t="inlineStr">
        <is>
          <t>NEGATIVO</t>
        </is>
      </c>
    </row>
    <row r="42" ht="15.75" customHeight="1" thickBot="1">
      <c r="A42">
        <f>_xlfn.CONCAT(B42,,","," ",C42)</f>
        <v/>
      </c>
      <c r="B42" t="inlineStr">
        <is>
          <t>Campero</t>
        </is>
      </c>
      <c r="C42" t="inlineStr">
        <is>
          <t>Mariano</t>
        </is>
      </c>
      <c r="D42" t="inlineStr">
        <is>
          <t>TUCUMAN</t>
        </is>
      </c>
      <c r="E42" s="1" t="n">
        <v>45270</v>
      </c>
      <c r="F42" s="1" t="n">
        <v>46730</v>
      </c>
      <c r="G42" t="inlineStr">
        <is>
          <t>LA LIBERTAD AVANZA</t>
        </is>
      </c>
      <c r="H42" s="12" t="inlineStr">
        <is>
          <t>RELACIONES EXTERIORES Y CULTO | INTERESES MARITIMOS, FLUVIALES, PESQUEROS Y PORTUARIOS | SEGURIDAD INTERIOR</t>
        </is>
      </c>
      <c r="I42" t="inlineStr">
        <is>
          <t>AFIRMATIVO</t>
        </is>
      </c>
      <c r="J42" s="17" t="inlineStr">
        <is>
          <t>AFIRMATIVO</t>
        </is>
      </c>
      <c r="L42" t="inlineStr">
        <is>
          <t>AFIRMATIVO</t>
        </is>
      </c>
      <c r="M42" s="9" t="inlineStr">
        <is>
          <t>AFIRMATIVO</t>
        </is>
      </c>
      <c r="N42" s="17" t="inlineStr">
        <is>
          <t>AFIRMATIVO</t>
        </is>
      </c>
      <c r="O42" t="inlineStr">
        <is>
          <t>AFIRMATIVO</t>
        </is>
      </c>
      <c r="Q42" t="inlineStr">
        <is>
          <t>AFIRMATIVO</t>
        </is>
      </c>
      <c r="S42" t="inlineStr">
        <is>
          <t>AFIRMATIVO</t>
        </is>
      </c>
      <c r="V42" s="17" t="inlineStr">
        <is>
          <t>AFIRMATIVO</t>
        </is>
      </c>
      <c r="W42" s="17" t="inlineStr">
        <is>
          <t>AFIRMATIVO</t>
        </is>
      </c>
    </row>
    <row r="43" ht="15.75" customHeight="1" thickBot="1">
      <c r="A43">
        <f>_xlfn.CONCAT(B43,,","," ",C43)</f>
        <v/>
      </c>
      <c r="B43" t="inlineStr">
        <is>
          <t>Campitelli</t>
        </is>
      </c>
      <c r="C43" t="inlineStr">
        <is>
          <t>Celia</t>
        </is>
      </c>
      <c r="D43" t="inlineStr">
        <is>
          <t>SANTIAGO DEL ESTERO</t>
        </is>
      </c>
      <c r="E43" s="1" t="n">
        <v>45270</v>
      </c>
      <c r="F43" s="1" t="n">
        <v>46730</v>
      </c>
      <c r="G43" t="inlineStr">
        <is>
          <t>UNIÓN POR LA PATRIA</t>
        </is>
      </c>
      <c r="H43" s="12" t="inlineStr">
        <is>
          <t>DE LAS PERSONAS MAYORES | POBLACION Y DESARROLLO HUMANO | DISCAPACIDAD | MUJERES Y DIVERSIDAD</t>
        </is>
      </c>
      <c r="I43" t="inlineStr">
        <is>
          <t>NEGATIVO</t>
        </is>
      </c>
      <c r="J43" s="17" t="inlineStr">
        <is>
          <t>NEGATIVO</t>
        </is>
      </c>
      <c r="L43" t="inlineStr">
        <is>
          <t>NEGATIVO</t>
        </is>
      </c>
      <c r="M43" s="9" t="inlineStr">
        <is>
          <t>NEGATIVO</t>
        </is>
      </c>
      <c r="N43" s="17" t="inlineStr">
        <is>
          <t>NEGATIVO</t>
        </is>
      </c>
      <c r="O43" t="inlineStr">
        <is>
          <t>AFIRMATIVO</t>
        </is>
      </c>
      <c r="Q43" t="inlineStr">
        <is>
          <t>NEGATIVO</t>
        </is>
      </c>
      <c r="S43" t="inlineStr">
        <is>
          <t>NEGATIVO</t>
        </is>
      </c>
      <c r="V43" s="17" t="inlineStr">
        <is>
          <t>NEGATIVO</t>
        </is>
      </c>
      <c r="W43" s="17" t="inlineStr">
        <is>
          <t>NEGATIVO</t>
        </is>
      </c>
    </row>
    <row r="44" ht="15.75" customHeight="1" thickBot="1">
      <c r="A44">
        <f>_xlfn.CONCAT(B44,,","," ",C44)</f>
        <v/>
      </c>
      <c r="B44" t="inlineStr">
        <is>
          <t>Campo</t>
        </is>
      </c>
      <c r="C44" t="inlineStr">
        <is>
          <t>Julieta Marisol</t>
        </is>
      </c>
      <c r="D44" t="inlineStr">
        <is>
          <t>CHACO</t>
        </is>
      </c>
      <c r="E44" s="1" t="n">
        <v>46001</v>
      </c>
      <c r="F44" s="1" t="n">
        <v>47461</v>
      </c>
      <c r="G44" t="inlineStr">
        <is>
          <t>UNIÓN POR LA PATRIA</t>
        </is>
      </c>
      <c r="H44" s="12" t="inlineStr">
        <is>
          <t>CULTURA | FAMILIAS, NIÑEZ Y JUVENTUDES | COMERCIO | ASUNTOS MUNICIPALES | ASUNTOS COOPERATIVOS, MUTUALES Y ORGANIZACIONES NO GUBERNAMENTALES | DEFENSA DEL CONSUMIDOR, DEL USUARIO Y DE LA COMPETENCIA | LIBERTAD DE EXPRESION</t>
        </is>
      </c>
      <c r="I44" t="inlineStr">
        <is>
          <t>NEGATIVO</t>
        </is>
      </c>
      <c r="J44" s="17" t="inlineStr">
        <is>
          <t>NEGATIVO</t>
        </is>
      </c>
      <c r="L44" t="inlineStr">
        <is>
          <t>NEGATIVO</t>
        </is>
      </c>
      <c r="M44" s="9" t="inlineStr">
        <is>
          <t>NEGATIVO</t>
        </is>
      </c>
      <c r="N44" s="17" t="inlineStr">
        <is>
          <t>NEGATIVO</t>
        </is>
      </c>
      <c r="O44" t="inlineStr">
        <is>
          <t>NEGATIVO</t>
        </is>
      </c>
      <c r="Q44" t="inlineStr">
        <is>
          <t>NEGATIVO</t>
        </is>
      </c>
      <c r="S44" t="inlineStr">
        <is>
          <t>NEGATIVO</t>
        </is>
      </c>
      <c r="V44" s="17" t="inlineStr">
        <is>
          <t>NEGATIVO</t>
        </is>
      </c>
      <c r="W44" s="17" t="inlineStr">
        <is>
          <t>NEGATIVO</t>
        </is>
      </c>
    </row>
    <row r="45" ht="15.75" customHeight="1" thickBot="1">
      <c r="A45">
        <f>_xlfn.CONCAT(B45,,","," ",C45)</f>
        <v/>
      </c>
      <c r="B45" t="inlineStr">
        <is>
          <t>Cámpora</t>
        </is>
      </c>
      <c r="C45" t="inlineStr">
        <is>
          <t>Lucía</t>
        </is>
      </c>
      <c r="D45" t="inlineStr">
        <is>
          <t>CIUDAD DE BUENOS AIRES</t>
        </is>
      </c>
      <c r="E45" s="1" t="n">
        <v>46001</v>
      </c>
      <c r="F45" s="1" t="n">
        <v>47461</v>
      </c>
      <c r="G45" t="inlineStr">
        <is>
          <t>UNIÓN POR LA PATRIA</t>
        </is>
      </c>
      <c r="H45" s="12" t="inlineStr">
        <is>
          <t>ASUNTOS CONSTITUCIONALES | LEGISLACION GENERAL | COMUNICACIONES E INFORMATICA | PREVENCION DE ADICCIONES Y CONTROL DEL NARCOTRAFICO | MUJERES Y DIVERSIDAD</t>
        </is>
      </c>
      <c r="I45" t="inlineStr">
        <is>
          <t>NEGATIVO</t>
        </is>
      </c>
      <c r="J45" s="17" t="inlineStr">
        <is>
          <t>NEGATIVO</t>
        </is>
      </c>
      <c r="L45" t="inlineStr">
        <is>
          <t>NEGATIVO</t>
        </is>
      </c>
      <c r="M45" s="9" t="inlineStr">
        <is>
          <t>NEGATIVO</t>
        </is>
      </c>
      <c r="N45" s="17" t="inlineStr">
        <is>
          <t>NEGATIVO</t>
        </is>
      </c>
      <c r="O45" t="inlineStr">
        <is>
          <t>NEGATIVO</t>
        </is>
      </c>
      <c r="Q45" t="inlineStr">
        <is>
          <t>NEGATIVO</t>
        </is>
      </c>
      <c r="S45" t="inlineStr">
        <is>
          <t>NEGATIVO</t>
        </is>
      </c>
      <c r="V45" s="17" t="inlineStr">
        <is>
          <t>NEGATIVO</t>
        </is>
      </c>
      <c r="W45" s="17" t="inlineStr">
        <is>
          <t>NEGATIVO</t>
        </is>
      </c>
    </row>
    <row r="46" ht="15.75" customHeight="1" thickBot="1">
      <c r="A46">
        <f>_xlfn.CONCAT(B46,,","," ",C46)</f>
        <v/>
      </c>
      <c r="B46" t="inlineStr">
        <is>
          <t>Capozzi</t>
        </is>
      </c>
      <c r="C46" t="inlineStr">
        <is>
          <t>Sergio Eduardo</t>
        </is>
      </c>
      <c r="D46" t="inlineStr">
        <is>
          <t>RIO NEGRO</t>
        </is>
      </c>
      <c r="E46" s="1" t="n">
        <v>45270</v>
      </c>
      <c r="F46" s="1" t="n">
        <v>46730</v>
      </c>
      <c r="G46" t="inlineStr">
        <is>
          <t>PROVINCIAS UNIDAS</t>
        </is>
      </c>
      <c r="H46" s="10" t="inlineStr">
        <is>
          <t>LEGISLACION GENERAL | RELACIONES EXTERIORES Y CULTO | CIENCIA, TECNOLOGIA E INNOVACION PRODUCTIVA | PREVISION Y SEGURIDAD SOCIAL | LEGISLACION DEL TRABAJO | DEFENSA NACIONAL | INTERESES MARITIMOS, FLUVIALES, PESQUEROS Y PORTUARIOS | ANALISIS Y SEGUIMIENTO DEL CUMPLIMIENTO DE NORMAS TRIBUTARIAS Y PREVISIONALES | POBLACION Y DESARROLLO HUMANO</t>
        </is>
      </c>
      <c r="I46" t="inlineStr">
        <is>
          <t>ABSTENCIÓN</t>
        </is>
      </c>
      <c r="J46" s="17" t="inlineStr">
        <is>
          <t>AFIRMATIVO</t>
        </is>
      </c>
      <c r="L46" t="inlineStr">
        <is>
          <t>AFIRMATIVO</t>
        </is>
      </c>
      <c r="M46" s="9" t="inlineStr">
        <is>
          <t>AFIRMATIVO</t>
        </is>
      </c>
      <c r="N46" s="17" t="inlineStr">
        <is>
          <t>AFIRMATIVO</t>
        </is>
      </c>
      <c r="O46" t="inlineStr">
        <is>
          <t>AFIRMATIVO</t>
        </is>
      </c>
      <c r="Q46" t="inlineStr">
        <is>
          <t>AUSENTE</t>
        </is>
      </c>
      <c r="S46" t="inlineStr">
        <is>
          <t>AFIRMATIVO</t>
        </is>
      </c>
      <c r="V46" s="17" t="inlineStr">
        <is>
          <t>ABSTENCION</t>
        </is>
      </c>
      <c r="W46" s="17" t="inlineStr">
        <is>
          <t>AFIRMATIVO</t>
        </is>
      </c>
    </row>
    <row r="47" ht="15.75" customHeight="1" thickBot="1">
      <c r="A47">
        <f>_xlfn.CONCAT(B47,,","," ",C47)</f>
        <v/>
      </c>
      <c r="B47" t="inlineStr">
        <is>
          <t>Carignano</t>
        </is>
      </c>
      <c r="C47" t="inlineStr">
        <is>
          <t>Florencia</t>
        </is>
      </c>
      <c r="D47" t="inlineStr">
        <is>
          <t>SANTA FE</t>
        </is>
      </c>
      <c r="E47" s="1" t="n">
        <v>45270</v>
      </c>
      <c r="F47" s="1" t="n">
        <v>46730</v>
      </c>
      <c r="G47" t="inlineStr">
        <is>
          <t>UNIÓN POR LA PATRIA</t>
        </is>
      </c>
      <c r="H47" s="10" t="inlineStr">
        <is>
          <t>LEGISLACION GENERAL | RELACIONES EXTERIORES Y CULTO | LEGISLACION PENAL | DEFENSA NACIONAL | OBRAS PUBLICAS | COMERCIO | TRANSPORTES | ASUNTOS COOPERATIVOS, MUTUALES Y ORGANIZACIONES NO GUBERNAMENTALES | PEQUEÑAS Y MEDIANAS EMPRESAS | SEGURIDAD INTERIOR</t>
        </is>
      </c>
      <c r="I47" t="inlineStr">
        <is>
          <t>NEGATIVO</t>
        </is>
      </c>
      <c r="J47" s="17" t="inlineStr">
        <is>
          <t>NEGATIVO</t>
        </is>
      </c>
      <c r="L47" t="inlineStr">
        <is>
          <t>NEGATIVO</t>
        </is>
      </c>
      <c r="M47" s="9" t="inlineStr">
        <is>
          <t>NEGATIVO</t>
        </is>
      </c>
      <c r="N47" s="17" t="inlineStr">
        <is>
          <t>NEGATIVO</t>
        </is>
      </c>
      <c r="O47" t="inlineStr">
        <is>
          <t>NEGATIVO</t>
        </is>
      </c>
      <c r="Q47" t="inlineStr">
        <is>
          <t>NEGATIVO</t>
        </is>
      </c>
      <c r="S47" t="inlineStr">
        <is>
          <t>NEGATIVO</t>
        </is>
      </c>
      <c r="V47" s="17" t="inlineStr">
        <is>
          <t>NEGATIVO</t>
        </is>
      </c>
      <c r="W47" s="17" t="inlineStr">
        <is>
          <t>NEGATIVO</t>
        </is>
      </c>
    </row>
    <row r="48" ht="15.75" customHeight="1" thickBot="1">
      <c r="A48">
        <f>_xlfn.CONCAT(B48,,","," ",C48)</f>
        <v/>
      </c>
      <c r="B48" t="inlineStr">
        <is>
          <t>Carrancio</t>
        </is>
      </c>
      <c r="C48" t="inlineStr">
        <is>
          <t>Alejandro</t>
        </is>
      </c>
      <c r="D48" t="inlineStr">
        <is>
          <t>BUENOS AIRES</t>
        </is>
      </c>
      <c r="E48" s="1" t="n">
        <v>46001</v>
      </c>
      <c r="F48" s="1" t="n">
        <v>47461</v>
      </c>
      <c r="G48" t="inlineStr">
        <is>
          <t>LA LIBERTAD AVANZA</t>
        </is>
      </c>
      <c r="H48" s="12" t="inlineStr">
        <is>
          <t>LEGISLACION GENERAL | JUSTICIA | COMUNICACIONES E INFORMATICA | TRANSPORTES | INTERESES MARITIMOS, FLUVIALES, PESQUEROS Y PORTUARIOS | ANALISIS Y SEGUIMIENTO DEL CUMPLIMIENTO DE NORMAS TRIBUTARIAS Y PREVISIONALES | DEPORTES</t>
        </is>
      </c>
      <c r="I48" t="inlineStr">
        <is>
          <t>AFIRMATIVO</t>
        </is>
      </c>
      <c r="J48" s="17" t="inlineStr">
        <is>
          <t>AFIRMATIVO</t>
        </is>
      </c>
      <c r="L48" t="inlineStr">
        <is>
          <t>AFIRMATIVO</t>
        </is>
      </c>
      <c r="M48" s="9" t="inlineStr">
        <is>
          <t>AFIRMATIVO</t>
        </is>
      </c>
      <c r="N48" s="17" t="inlineStr">
        <is>
          <t>AFIRMATIVO</t>
        </is>
      </c>
      <c r="O48" t="inlineStr">
        <is>
          <t>AFIRMATIVO</t>
        </is>
      </c>
      <c r="Q48" t="inlineStr">
        <is>
          <t>AFIRMATIVO</t>
        </is>
      </c>
      <c r="S48" t="inlineStr">
        <is>
          <t>AFIRMATIVO</t>
        </is>
      </c>
      <c r="V48" s="17" t="inlineStr">
        <is>
          <t>AFIRMATIVO</t>
        </is>
      </c>
      <c r="W48" s="17" t="inlineStr">
        <is>
          <t>AFIRMATIVO</t>
        </is>
      </c>
    </row>
    <row r="49" ht="15.75" customHeight="1" thickBot="1">
      <c r="A49">
        <f>_xlfn.CONCAT(B49,,","," ",C49)</f>
        <v/>
      </c>
      <c r="B49" t="inlineStr">
        <is>
          <t>Casas</t>
        </is>
      </c>
      <c r="C49" t="inlineStr">
        <is>
          <t>Sergio Guillermo</t>
        </is>
      </c>
      <c r="D49" t="inlineStr">
        <is>
          <t>LA RIOJA</t>
        </is>
      </c>
      <c r="E49" s="1" t="n">
        <v>45270</v>
      </c>
      <c r="F49" s="1" t="n">
        <v>46730</v>
      </c>
      <c r="G49" t="inlineStr">
        <is>
          <t>UNIÓN POR LA PATRIA</t>
        </is>
      </c>
      <c r="H49" s="12" t="inlineStr">
        <is>
          <t>PRESUPUESTO Y HACIENDA | DE LAS PERSONAS MAYORES | PETICIONES, PODERES Y REGLAMENTO | DEFENSA DEL CONSUMIDOR, DEL USUARIO Y DE LA COMPETENCIA</t>
        </is>
      </c>
      <c r="I49" t="inlineStr">
        <is>
          <t>NEGATIVO</t>
        </is>
      </c>
      <c r="J49" s="17" t="inlineStr">
        <is>
          <t>NEGATIVO</t>
        </is>
      </c>
      <c r="L49" t="inlineStr">
        <is>
          <t>AUSENTE</t>
        </is>
      </c>
      <c r="M49" s="9" t="inlineStr">
        <is>
          <t>NEGATIVO</t>
        </is>
      </c>
      <c r="N49" s="17" t="inlineStr">
        <is>
          <t>NEGATIVO</t>
        </is>
      </c>
      <c r="O49" t="inlineStr">
        <is>
          <t>AFIRMATIVO</t>
        </is>
      </c>
      <c r="Q49" t="inlineStr">
        <is>
          <t>NEGATIVO</t>
        </is>
      </c>
      <c r="S49" t="inlineStr">
        <is>
          <t>NEGATIVO</t>
        </is>
      </c>
      <c r="V49" s="17" t="inlineStr">
        <is>
          <t>NEGATIVO</t>
        </is>
      </c>
      <c r="W49" s="17" t="inlineStr">
        <is>
          <t>NEGATIVO</t>
        </is>
      </c>
    </row>
    <row r="50" ht="15.75" customHeight="1" thickBot="1">
      <c r="A50">
        <f>_xlfn.CONCAT(B50,,","," ",C50)</f>
        <v/>
      </c>
      <c r="B50" t="inlineStr">
        <is>
          <t>Castagneto</t>
        </is>
      </c>
      <c r="C50" t="inlineStr">
        <is>
          <t>Carlos Daniel</t>
        </is>
      </c>
      <c r="D50" t="inlineStr">
        <is>
          <t>BUENOS AIRES</t>
        </is>
      </c>
      <c r="E50" s="1" t="n">
        <v>45270</v>
      </c>
      <c r="F50" s="1" t="n">
        <v>46730</v>
      </c>
      <c r="G50" t="inlineStr">
        <is>
          <t>UNIÓN POR LA PATRIA</t>
        </is>
      </c>
      <c r="H50" s="12" t="inlineStr">
        <is>
          <t>PRESUPUESTO Y HACIENDA | ACCION SOCIAL Y SALUD PUBLICA | FINANZAS | ECONOMIA | ANALISIS Y SEGUIMIENTO DEL CUMPLIMIENTO DE NORMAS TRIBUTARIAS Y PREVISIONALES | DEPORTES</t>
        </is>
      </c>
      <c r="I50" t="inlineStr">
        <is>
          <t>NEGATIVO</t>
        </is>
      </c>
      <c r="J50" s="17" t="inlineStr">
        <is>
          <t>NEGATIVO</t>
        </is>
      </c>
      <c r="L50" t="inlineStr">
        <is>
          <t>NEGATIVO</t>
        </is>
      </c>
      <c r="M50" s="9" t="inlineStr">
        <is>
          <t>NEGATIVO</t>
        </is>
      </c>
      <c r="N50" s="17" t="inlineStr">
        <is>
          <t>NEGATIVO</t>
        </is>
      </c>
      <c r="O50" t="inlineStr">
        <is>
          <t>NEGATIVO</t>
        </is>
      </c>
      <c r="Q50" t="inlineStr">
        <is>
          <t>NEGATIVO</t>
        </is>
      </c>
      <c r="S50" t="inlineStr">
        <is>
          <t>NEGATIVO</t>
        </is>
      </c>
      <c r="V50" s="17" t="inlineStr">
        <is>
          <t>NEGATIVO</t>
        </is>
      </c>
      <c r="W50" s="17" t="inlineStr">
        <is>
          <t>NEGATIVO</t>
        </is>
      </c>
    </row>
    <row r="51" ht="15.75" customHeight="1" thickBot="1">
      <c r="A51">
        <f>_xlfn.CONCAT(B51,,","," ",C51)</f>
        <v/>
      </c>
      <c r="B51" t="inlineStr">
        <is>
          <t>Castelnuovo</t>
        </is>
      </c>
      <c r="C51" t="inlineStr">
        <is>
          <t>Giselle</t>
        </is>
      </c>
      <c r="D51" t="inlineStr">
        <is>
          <t>BUENOS AIRES</t>
        </is>
      </c>
      <c r="E51" s="1" t="n">
        <v>46001</v>
      </c>
      <c r="F51" s="1" t="n">
        <v>47461</v>
      </c>
      <c r="G51" t="inlineStr">
        <is>
          <t>LA LIBERTAD AVANZA</t>
        </is>
      </c>
      <c r="H51" s="12" t="inlineStr">
        <is>
          <t>ASUNTOS CONSTITUCIONALES | LEGISLACION GENERAL | JUSTICIA | OBRAS PUBLICAS | COMUNICACIONES E INFORMATICA | JUICIO POLITICO | RECURSOS NATURALES Y CONSERVACION DEL AMBIENTE HUMANO</t>
        </is>
      </c>
      <c r="I51" t="inlineStr">
        <is>
          <t>AFIRMATIVO</t>
        </is>
      </c>
      <c r="J51" s="17" t="inlineStr">
        <is>
          <t>AFIRMATIVO</t>
        </is>
      </c>
      <c r="L51" t="inlineStr">
        <is>
          <t>AFIRMATIVO</t>
        </is>
      </c>
      <c r="M51" s="9" t="inlineStr">
        <is>
          <t>AFIRMATIVO</t>
        </is>
      </c>
      <c r="N51" s="17" t="inlineStr">
        <is>
          <t>AFIRMATIVO</t>
        </is>
      </c>
      <c r="O51" t="inlineStr">
        <is>
          <t>AFIRMATIVO</t>
        </is>
      </c>
      <c r="Q51" t="inlineStr">
        <is>
          <t>AFIRMATIVO</t>
        </is>
      </c>
      <c r="S51" t="inlineStr">
        <is>
          <t>AFIRMATIVO</t>
        </is>
      </c>
      <c r="V51" s="17" t="inlineStr">
        <is>
          <t>AFIRMATIVO</t>
        </is>
      </c>
      <c r="W51" s="17" t="inlineStr">
        <is>
          <t>AFIRMATIVO</t>
        </is>
      </c>
    </row>
    <row r="52" ht="15.75" customHeight="1" thickBot="1">
      <c r="A52">
        <f>_xlfn.CONCAT(B52,,","," ",C52)</f>
        <v/>
      </c>
      <c r="B52" t="inlineStr">
        <is>
          <t>Chica</t>
        </is>
      </c>
      <c r="C52" t="inlineStr">
        <is>
          <t>Jorge</t>
        </is>
      </c>
      <c r="D52" t="inlineStr">
        <is>
          <t>SAN JUAN</t>
        </is>
      </c>
      <c r="E52" s="1" t="n">
        <v>45270</v>
      </c>
      <c r="F52" s="1" t="n">
        <v>46730</v>
      </c>
      <c r="G52" t="inlineStr">
        <is>
          <t>UNIÓN POR LA PATRIA</t>
        </is>
      </c>
      <c r="H52" s="12" t="inlineStr">
        <is>
          <t>TRANSPORTES | DEPORTES | DISCAPACIDAD</t>
        </is>
      </c>
      <c r="I52" t="inlineStr">
        <is>
          <t>NEGATIVO</t>
        </is>
      </c>
      <c r="J52" s="17" t="inlineStr">
        <is>
          <t>NEGATIVO</t>
        </is>
      </c>
      <c r="L52" t="inlineStr">
        <is>
          <t>NEGATIVO</t>
        </is>
      </c>
      <c r="M52" s="9" t="inlineStr">
        <is>
          <t>AFIRMATIVO</t>
        </is>
      </c>
      <c r="N52" s="17" t="inlineStr">
        <is>
          <t>NEGATIVO</t>
        </is>
      </c>
      <c r="O52" t="inlineStr">
        <is>
          <t>AFIRMATIVO</t>
        </is>
      </c>
      <c r="Q52" t="inlineStr">
        <is>
          <t>NEGATIVO</t>
        </is>
      </c>
      <c r="S52" t="inlineStr">
        <is>
          <t>NEGATIVO</t>
        </is>
      </c>
      <c r="V52" s="17" t="inlineStr">
        <is>
          <t>NEGATIVO</t>
        </is>
      </c>
      <c r="W52" s="17" t="inlineStr">
        <is>
          <t>NEGATIVO</t>
        </is>
      </c>
    </row>
    <row r="53" ht="15.75" customHeight="1" thickBot="1">
      <c r="A53">
        <f>_xlfn.CONCAT(B53,,","," ",C53)</f>
        <v/>
      </c>
      <c r="B53" t="inlineStr">
        <is>
          <t>Chiconi</t>
        </is>
      </c>
      <c r="C53" t="inlineStr">
        <is>
          <t>Abel</t>
        </is>
      </c>
      <c r="D53" t="inlineStr">
        <is>
          <t>SAN JUAN</t>
        </is>
      </c>
      <c r="E53" s="1" t="n">
        <v>46001</v>
      </c>
      <c r="F53" s="1" t="n">
        <v>47461</v>
      </c>
      <c r="G53" t="inlineStr">
        <is>
          <t>LA LIBERTAD AVANZA</t>
        </is>
      </c>
      <c r="H53" s="12" t="inlineStr">
        <is>
          <t>AGRICULTURA Y GANADERIA | INDUSTRIA | TRANSPORTES | ECONOMIAS Y DESARROLLO REGIONAL | ECONOMIA | MINERIA | ASUNTOS COOPERATIVOS, MUTUALES Y ORGANIZACIONES NO GUBERNAMENTALES</t>
        </is>
      </c>
      <c r="I53" t="inlineStr">
        <is>
          <t>AFIRMATIVO</t>
        </is>
      </c>
      <c r="J53" s="17" t="inlineStr">
        <is>
          <t>AFIRMATIVO</t>
        </is>
      </c>
      <c r="L53" t="inlineStr">
        <is>
          <t>AFIRMATIVO</t>
        </is>
      </c>
      <c r="M53" s="9" t="inlineStr">
        <is>
          <t>AFIRMATIVO</t>
        </is>
      </c>
      <c r="N53" s="17" t="inlineStr">
        <is>
          <t>AFIRMATIVO</t>
        </is>
      </c>
      <c r="O53" t="inlineStr">
        <is>
          <t>AFIRMATIVO</t>
        </is>
      </c>
      <c r="Q53" t="inlineStr">
        <is>
          <t>AFIRMATIVO</t>
        </is>
      </c>
      <c r="S53" t="inlineStr">
        <is>
          <t>AFIRMATIVO</t>
        </is>
      </c>
      <c r="V53" s="17" t="inlineStr">
        <is>
          <t>AFIRMATIVO</t>
        </is>
      </c>
      <c r="W53" s="17" t="inlineStr">
        <is>
          <t>AFIRMATIVO</t>
        </is>
      </c>
    </row>
    <row r="54" ht="15.75" customHeight="1" thickBot="1">
      <c r="A54">
        <f>_xlfn.CONCAT(B54,,","," ",C54)</f>
        <v/>
      </c>
      <c r="B54" t="inlineStr">
        <is>
          <t>Cipolini</t>
        </is>
      </c>
      <c r="C54" t="inlineStr">
        <is>
          <t>Gerardo</t>
        </is>
      </c>
      <c r="D54" t="inlineStr">
        <is>
          <t>CHACO</t>
        </is>
      </c>
      <c r="E54" s="1" t="n">
        <v>45270</v>
      </c>
      <c r="F54" s="1" t="n">
        <v>46730</v>
      </c>
      <c r="G54" t="inlineStr">
        <is>
          <t>UCR - UNIÓN CÍVICA RADICAL</t>
        </is>
      </c>
      <c r="H54" s="12" t="inlineStr">
        <is>
          <t>CULTURA | DE LAS PERSONAS MAYORES | TURISMO | PREVENCION DE ADICCIONES Y CONTROL DEL NARCOTRAFICO</t>
        </is>
      </c>
      <c r="I54" t="inlineStr">
        <is>
          <t>AFIRMATIVO</t>
        </is>
      </c>
      <c r="J54" s="17" t="inlineStr">
        <is>
          <t>AFIRMATIVO</t>
        </is>
      </c>
      <c r="L54" t="inlineStr">
        <is>
          <t>AFIRMATIVO</t>
        </is>
      </c>
      <c r="M54" s="9" t="inlineStr">
        <is>
          <t>AFIRMATIVO</t>
        </is>
      </c>
      <c r="N54" s="17" t="inlineStr">
        <is>
          <t>AFIRMATIVO</t>
        </is>
      </c>
      <c r="O54" t="inlineStr">
        <is>
          <t>AFIRMATIVO</t>
        </is>
      </c>
      <c r="Q54" t="inlineStr">
        <is>
          <t>AFIRMATIVO</t>
        </is>
      </c>
      <c r="S54" t="inlineStr">
        <is>
          <t>AFIRMATIVO</t>
        </is>
      </c>
      <c r="V54" s="17" t="inlineStr">
        <is>
          <t>AFIRMATIVO</t>
        </is>
      </c>
      <c r="W54" s="17" t="inlineStr">
        <is>
          <t>AFIRMATIVO</t>
        </is>
      </c>
    </row>
    <row r="55" ht="15.75" customHeight="1" thickBot="1">
      <c r="A55">
        <f>_xlfn.CONCAT(B55,,","," ",C55)</f>
        <v/>
      </c>
      <c r="B55" t="inlineStr">
        <is>
          <t>Cisneros</t>
        </is>
      </c>
      <c r="C55" t="inlineStr">
        <is>
          <t>Carlos</t>
        </is>
      </c>
      <c r="D55" t="inlineStr">
        <is>
          <t>TUCUMAN</t>
        </is>
      </c>
      <c r="E55" s="1" t="n">
        <v>45270</v>
      </c>
      <c r="F55" s="1" t="n">
        <v>46730</v>
      </c>
      <c r="G55" t="inlineStr">
        <is>
          <t>UNIÓN POR LA PATRIA</t>
        </is>
      </c>
      <c r="H55" s="12" t="inlineStr">
        <is>
          <t>LEGISLACION DEL TRABAJO | TRANSPORTES | ECONOMIA | DEFENSA DEL CONSUMIDOR, DEL USUARIO Y DE LA COMPETENCIA</t>
        </is>
      </c>
      <c r="I55" t="inlineStr">
        <is>
          <t>NEGATIVO</t>
        </is>
      </c>
      <c r="J55" s="17" t="inlineStr">
        <is>
          <t>NEGATIVO</t>
        </is>
      </c>
      <c r="L55" t="inlineStr">
        <is>
          <t>NEGATIVO</t>
        </is>
      </c>
      <c r="M55" s="9" t="inlineStr">
        <is>
          <t>NEGATIVO</t>
        </is>
      </c>
      <c r="N55" s="17" t="inlineStr">
        <is>
          <t>AUSENTE</t>
        </is>
      </c>
      <c r="O55" t="inlineStr">
        <is>
          <t>AUSENTE</t>
        </is>
      </c>
      <c r="Q55" t="inlineStr">
        <is>
          <t>NEGATIVO</t>
        </is>
      </c>
      <c r="S55" t="inlineStr">
        <is>
          <t>NEGATIVO</t>
        </is>
      </c>
      <c r="V55" s="17" t="inlineStr">
        <is>
          <t>NEGATIVO</t>
        </is>
      </c>
      <c r="W55" s="17" t="inlineStr">
        <is>
          <t>AUSENTE</t>
        </is>
      </c>
    </row>
    <row r="56" ht="15.75" customHeight="1" thickBot="1">
      <c r="A56">
        <f>_xlfn.CONCAT(B56,,","," ",C56)</f>
        <v/>
      </c>
      <c r="B56" t="inlineStr">
        <is>
          <t>Coletta</t>
        </is>
      </c>
      <c r="C56" t="inlineStr">
        <is>
          <t>Mariela</t>
        </is>
      </c>
      <c r="D56" t="inlineStr">
        <is>
          <t>CIUDAD DE BUENOS AIRES</t>
        </is>
      </c>
      <c r="E56" s="1" t="n">
        <v>45270</v>
      </c>
      <c r="F56" s="1" t="n">
        <v>46730</v>
      </c>
      <c r="G56" t="inlineStr">
        <is>
          <t>PROVINCIAS UNIDAS</t>
        </is>
      </c>
      <c r="H56" s="12" t="inlineStr">
        <is>
          <t>ASUNTOS CONSTITUCIONALES | LEGISLACION GENERAL | EDUCACION | CIENCIA, TECNOLOGIA E INNOVACION PRODUCTIVA | ACCION SOCIAL Y SALUD PUBLICA | JUICIO POLITICO | DEFENSA DEL CONSUMIDOR, DEL USUARIO Y DE LA COMPETENCIA</t>
        </is>
      </c>
      <c r="I56" t="inlineStr">
        <is>
          <t>ABSTENCIÓN</t>
        </is>
      </c>
      <c r="J56" s="17" t="inlineStr">
        <is>
          <t>NEGATIVO</t>
        </is>
      </c>
      <c r="L56" t="inlineStr">
        <is>
          <t>NEGATIVO</t>
        </is>
      </c>
      <c r="M56" s="9" t="inlineStr">
        <is>
          <t>NEGATIVO</t>
        </is>
      </c>
      <c r="N56" s="17" t="inlineStr">
        <is>
          <t>AFIRMATIVO</t>
        </is>
      </c>
      <c r="O56" t="inlineStr">
        <is>
          <t>AFIRMATIVO</t>
        </is>
      </c>
      <c r="Q56" t="inlineStr">
        <is>
          <t>ABSTENCION</t>
        </is>
      </c>
      <c r="S56" t="inlineStr">
        <is>
          <t>AUSENTE</t>
        </is>
      </c>
      <c r="V56" s="17" t="inlineStr">
        <is>
          <t>NEGATIVO</t>
        </is>
      </c>
      <c r="W56" s="17" t="inlineStr">
        <is>
          <t>AUSENTE</t>
        </is>
      </c>
    </row>
    <row r="57" ht="15.75" customHeight="1" thickBot="1">
      <c r="A57">
        <f>_xlfn.CONCAT(B57,,","," ",C57)</f>
        <v/>
      </c>
      <c r="B57" t="inlineStr">
        <is>
          <t>Correa Llano</t>
        </is>
      </c>
      <c r="C57" t="inlineStr">
        <is>
          <t>Facundo</t>
        </is>
      </c>
      <c r="D57" t="inlineStr">
        <is>
          <t>MENDOZA</t>
        </is>
      </c>
      <c r="E57" s="1" t="n">
        <v>45270</v>
      </c>
      <c r="F57" s="1" t="n">
        <v>46730</v>
      </c>
      <c r="G57" t="inlineStr">
        <is>
          <t>LA LIBERTAD AVANZA</t>
        </is>
      </c>
      <c r="H57" s="12" t="inlineStr">
        <is>
          <t>PRESUPUESTO Y HACIENDA | ENERGIA Y COMBUSTIBLES | ASUNTOS MUNICIPALES | JUICIO POLITICO | MINERIA | PREVENCION DE ADICCIONES Y CONTROL DEL NARCOTRAFICO | DEPORTES | ASUNTOS COOPERATIVOS, MUTUALES Y ORGANIZACIONES NO GUBERNAMENTALES</t>
        </is>
      </c>
      <c r="I57" t="inlineStr">
        <is>
          <t>AFIRMATIVO</t>
        </is>
      </c>
      <c r="J57" s="17" t="inlineStr">
        <is>
          <t>AFIRMATIVO</t>
        </is>
      </c>
      <c r="L57" t="inlineStr">
        <is>
          <t>AFIRMATIVO</t>
        </is>
      </c>
      <c r="M57" s="9" t="inlineStr">
        <is>
          <t>AFIRMATIVO</t>
        </is>
      </c>
      <c r="N57" s="17" t="inlineStr">
        <is>
          <t>AFIRMATIVO</t>
        </is>
      </c>
      <c r="O57" t="inlineStr">
        <is>
          <t>AFIRMATIVO</t>
        </is>
      </c>
      <c r="Q57" t="inlineStr">
        <is>
          <t>AFIRMATIVO</t>
        </is>
      </c>
      <c r="S57" t="inlineStr">
        <is>
          <t>AFIRMATIVO</t>
        </is>
      </c>
      <c r="V57" s="17" t="inlineStr">
        <is>
          <t>AFIRMATIVO</t>
        </is>
      </c>
      <c r="W57" s="17" t="inlineStr">
        <is>
          <t>AFIRMATIVO</t>
        </is>
      </c>
    </row>
    <row r="58" ht="15.75" customHeight="1" thickBot="1">
      <c r="A58">
        <f>_xlfn.CONCAT(B58,,","," ",C58)</f>
        <v/>
      </c>
      <c r="B58" t="inlineStr">
        <is>
          <t>Daives</t>
        </is>
      </c>
      <c r="C58" t="inlineStr">
        <is>
          <t>Ricardo</t>
        </is>
      </c>
      <c r="D58" t="inlineStr">
        <is>
          <t>SANTIAGO DEL ESTERO</t>
        </is>
      </c>
      <c r="E58" s="1" t="n">
        <v>45270</v>
      </c>
      <c r="F58" s="1" t="n">
        <v>46730</v>
      </c>
      <c r="G58" t="inlineStr">
        <is>
          <t>UNIÓN POR LA PATRIA</t>
        </is>
      </c>
      <c r="H58" s="12" t="inlineStr">
        <is>
          <t>DEFENSA NACIONAL | PETICIONES, PODERES Y REGLAMENTO | ECONOMIA | ANALISIS Y SEGUIMIENTO DEL CUMPLIMIENTO DE NORMAS TRIBUTARIAS Y PREVISIONALES | SEGURIDAD INTERIOR</t>
        </is>
      </c>
      <c r="I58" t="inlineStr">
        <is>
          <t>AUSENTE</t>
        </is>
      </c>
      <c r="J58" s="17" t="inlineStr">
        <is>
          <t>AUSENTE</t>
        </is>
      </c>
      <c r="L58" t="inlineStr">
        <is>
          <t>NEGATIVO</t>
        </is>
      </c>
      <c r="M58" s="9" t="inlineStr">
        <is>
          <t>NEGATIVO</t>
        </is>
      </c>
      <c r="N58" s="17" t="inlineStr">
        <is>
          <t>NEGATIVO</t>
        </is>
      </c>
      <c r="O58" t="inlineStr">
        <is>
          <t>AFIRMATIVO</t>
        </is>
      </c>
      <c r="Q58" t="inlineStr">
        <is>
          <t>NEGATIVO</t>
        </is>
      </c>
      <c r="S58" t="inlineStr">
        <is>
          <t>AUSENTE</t>
        </is>
      </c>
      <c r="V58" s="17" t="inlineStr">
        <is>
          <t>NEGATIVO</t>
        </is>
      </c>
      <c r="W58" s="17" t="inlineStr">
        <is>
          <t>NEGATIVO</t>
        </is>
      </c>
    </row>
    <row r="59" ht="15.75" customHeight="1" thickBot="1">
      <c r="A59">
        <f>_xlfn.CONCAT(B59,,","," ",C59)</f>
        <v/>
      </c>
      <c r="B59" t="inlineStr">
        <is>
          <t>de Andreis</t>
        </is>
      </c>
      <c r="C59" t="inlineStr">
        <is>
          <t>Fernando</t>
        </is>
      </c>
      <c r="D59" t="inlineStr">
        <is>
          <t>CIUDAD DE BUENOS AIRES</t>
        </is>
      </c>
      <c r="E59" s="1" t="n">
        <v>46001</v>
      </c>
      <c r="F59" s="1" t="n">
        <v>47461</v>
      </c>
      <c r="G59" t="inlineStr">
        <is>
          <t>PRO</t>
        </is>
      </c>
      <c r="H59" s="12" t="inlineStr">
        <is>
          <t>PRESUPUESTO Y HACIENDA | LEGISLACION DEL TRABAJO | FINANZAS | TRANSPORTES | TURISMO | ANALISIS Y SEGUIMIENTO DEL CUMPLIMIENTO DE NORMAS TRIBUTARIAS Y PREVISIONALES | DEPORTES</t>
        </is>
      </c>
      <c r="I59" t="inlineStr">
        <is>
          <t>AFIRMATIVO</t>
        </is>
      </c>
      <c r="J59" s="17" t="inlineStr">
        <is>
          <t>AFIRMATIVO</t>
        </is>
      </c>
      <c r="L59" t="inlineStr">
        <is>
          <t>AFIRMATIVO</t>
        </is>
      </c>
      <c r="M59" s="9" t="inlineStr">
        <is>
          <t>AFIRMATIVO</t>
        </is>
      </c>
      <c r="N59" s="17" t="inlineStr">
        <is>
          <t>AFIRMATIVO</t>
        </is>
      </c>
      <c r="O59" t="inlineStr">
        <is>
          <t>AFIRMATIVO</t>
        </is>
      </c>
      <c r="Q59" t="inlineStr">
        <is>
          <t>AFIRMATIVO</t>
        </is>
      </c>
      <c r="S59" t="inlineStr">
        <is>
          <t>AFIRMATIVO</t>
        </is>
      </c>
      <c r="V59" s="17" t="inlineStr">
        <is>
          <t>AFIRMATIVO</t>
        </is>
      </c>
      <c r="W59" s="17" t="inlineStr">
        <is>
          <t>AFIRMATIVO</t>
        </is>
      </c>
    </row>
    <row r="60" ht="15.75" customHeight="1" thickBot="1">
      <c r="A60">
        <f>_xlfn.CONCAT(B60,,","," ",C60)</f>
        <v/>
      </c>
      <c r="B60" t="inlineStr">
        <is>
          <t>de la Rosa</t>
        </is>
      </c>
      <c r="C60" t="inlineStr">
        <is>
          <t>María Graciela</t>
        </is>
      </c>
      <c r="D60" t="inlineStr">
        <is>
          <t>FORMOSA</t>
        </is>
      </c>
      <c r="E60" s="1" t="n">
        <v>46001</v>
      </c>
      <c r="F60" s="1" t="n">
        <v>47461</v>
      </c>
      <c r="G60" t="inlineStr">
        <is>
          <t>UNIÓN POR LA PATRIA</t>
        </is>
      </c>
      <c r="H60" s="12" t="inlineStr">
        <is>
          <t>PRESUPUESTO Y HACIENDA | FINANZAS | ENERGIA Y COMBUSTIBLES | ECONOMIA | DERECHOS HUMANOS Y GARANTIAS | DEFENSA DEL CONSUMIDOR, DEL USUARIO Y DE LA COMPETENCIA</t>
        </is>
      </c>
      <c r="I60" t="inlineStr">
        <is>
          <t>NEGATIVO</t>
        </is>
      </c>
      <c r="J60" s="17" t="inlineStr">
        <is>
          <t>NEGATIVO</t>
        </is>
      </c>
      <c r="L60" t="inlineStr">
        <is>
          <t>NEGATIVO</t>
        </is>
      </c>
      <c r="M60" s="9" t="inlineStr">
        <is>
          <t>NEGATIVO</t>
        </is>
      </c>
      <c r="N60" s="17" t="inlineStr">
        <is>
          <t>NEGATIVO</t>
        </is>
      </c>
      <c r="O60" t="inlineStr">
        <is>
          <t>AFIRMATIVO</t>
        </is>
      </c>
      <c r="Q60" t="inlineStr">
        <is>
          <t>NEGATIVO</t>
        </is>
      </c>
      <c r="S60" t="inlineStr">
        <is>
          <t>NEGATIVO</t>
        </is>
      </c>
      <c r="V60" s="17" t="inlineStr">
        <is>
          <t>NEGATIVO</t>
        </is>
      </c>
      <c r="W60" s="17" t="inlineStr">
        <is>
          <t>NEGATIVO</t>
        </is>
      </c>
    </row>
    <row r="61" ht="15.75" customHeight="1" thickBot="1">
      <c r="A61">
        <f>_xlfn.CONCAT(B61,,","," ",C61)</f>
        <v/>
      </c>
      <c r="B61" t="inlineStr">
        <is>
          <t>de la Sota</t>
        </is>
      </c>
      <c r="C61" t="inlineStr">
        <is>
          <t>Natalia</t>
        </is>
      </c>
      <c r="D61" t="inlineStr">
        <is>
          <t>CORDOBA</t>
        </is>
      </c>
      <c r="E61" s="1" t="n">
        <v>46001</v>
      </c>
      <c r="F61" s="1" t="n">
        <v>47461</v>
      </c>
      <c r="G61" t="inlineStr">
        <is>
          <t>DEFENDAMOS CÓRDOBA</t>
        </is>
      </c>
      <c r="H61" s="12" t="inlineStr">
        <is>
          <t>Sin comisiones asignadas</t>
        </is>
      </c>
      <c r="I61" t="inlineStr">
        <is>
          <t>NEGATIVO</t>
        </is>
      </c>
      <c r="J61" s="17" t="inlineStr">
        <is>
          <t>NEGATIVO</t>
        </is>
      </c>
      <c r="L61" t="inlineStr">
        <is>
          <t>NEGATIVO</t>
        </is>
      </c>
      <c r="M61" s="9" t="inlineStr">
        <is>
          <t>NEGATIVO</t>
        </is>
      </c>
      <c r="N61" s="17" t="inlineStr">
        <is>
          <t>NEGATIVO</t>
        </is>
      </c>
      <c r="O61" t="inlineStr">
        <is>
          <t>AFIRMATIVO</t>
        </is>
      </c>
      <c r="Q61" t="inlineStr">
        <is>
          <t>NEGATIVO</t>
        </is>
      </c>
      <c r="S61" t="inlineStr">
        <is>
          <t>NEGATIVO</t>
        </is>
      </c>
      <c r="V61" s="17" t="inlineStr">
        <is>
          <t>NEGATIVO</t>
        </is>
      </c>
      <c r="W61" s="17" t="inlineStr">
        <is>
          <t>NEGATIVO</t>
        </is>
      </c>
    </row>
    <row r="62" ht="15.75" customHeight="1" thickBot="1">
      <c r="A62">
        <f>_xlfn.CONCAT(B62,,","," ",C62)</f>
        <v/>
      </c>
      <c r="B62" t="inlineStr">
        <is>
          <t>De Sensi</t>
        </is>
      </c>
      <c r="C62" t="inlineStr">
        <is>
          <t>María Florencia</t>
        </is>
      </c>
      <c r="D62" t="inlineStr">
        <is>
          <t>BUENOS AIRES</t>
        </is>
      </c>
      <c r="E62" s="1" t="n">
        <v>46001</v>
      </c>
      <c r="F62" s="1" t="n">
        <v>47461</v>
      </c>
      <c r="G62" t="inlineStr">
        <is>
          <t>PRO</t>
        </is>
      </c>
      <c r="H62" s="12" t="inlineStr">
        <is>
          <t>RELACIONES EXTERIORES Y CULTO | CULTURA | TRANSPORTES | RECURSOS NATURALES Y CONSERVACION DEL AMBIENTE HUMANO | MINERIA | PREVENCION DE ADICCIONES Y CONTROL DEL NARCOTRAFICO | MUJERES Y DIVERSIDAD</t>
        </is>
      </c>
      <c r="I62" t="inlineStr">
        <is>
          <t>AFIRMATIVO</t>
        </is>
      </c>
      <c r="J62" s="17" t="inlineStr">
        <is>
          <t>AFIRMATIVO</t>
        </is>
      </c>
      <c r="L62" t="inlineStr">
        <is>
          <t>AFIRMATIVO</t>
        </is>
      </c>
      <c r="M62" s="9" t="inlineStr">
        <is>
          <t>AFIRMATIVO</t>
        </is>
      </c>
      <c r="N62" s="17" t="inlineStr">
        <is>
          <t>AFIRMATIVO</t>
        </is>
      </c>
      <c r="O62" t="inlineStr">
        <is>
          <t>AFIRMATIVO</t>
        </is>
      </c>
      <c r="Q62" t="inlineStr">
        <is>
          <t>AFIRMATIVO</t>
        </is>
      </c>
      <c r="S62" t="inlineStr">
        <is>
          <t>AFIRMATIVO</t>
        </is>
      </c>
      <c r="V62" s="17" t="inlineStr">
        <is>
          <t>AFIRMATIVO</t>
        </is>
      </c>
      <c r="W62" s="17" t="inlineStr">
        <is>
          <t>AFIRMATIVO</t>
        </is>
      </c>
    </row>
    <row r="63" ht="15.75" customHeight="1" thickBot="1">
      <c r="A63">
        <f>_xlfn.CONCAT(B63,,","," ",C63)</f>
        <v/>
      </c>
      <c r="B63" t="inlineStr">
        <is>
          <t>del Caño</t>
        </is>
      </c>
      <c r="C63" t="inlineStr">
        <is>
          <t>Nicolás</t>
        </is>
      </c>
      <c r="D63" t="inlineStr">
        <is>
          <t>BUENOS AIRES</t>
        </is>
      </c>
      <c r="E63" s="1" t="n">
        <v>46001</v>
      </c>
      <c r="F63" s="1" t="n">
        <v>47461</v>
      </c>
      <c r="G63" t="inlineStr">
        <is>
          <t>FRENTE DE IZQUIERDA Y DE TRABAJADORES UNIDAD</t>
        </is>
      </c>
      <c r="H63" s="12" t="inlineStr">
        <is>
          <t>PREVISION Y SEGURIDAD SOCIAL | DISCAPACIDAD</t>
        </is>
      </c>
      <c r="I63" t="inlineStr">
        <is>
          <t>NEGATIVO</t>
        </is>
      </c>
      <c r="J63" s="17" t="inlineStr">
        <is>
          <t>NEGATIVO</t>
        </is>
      </c>
      <c r="L63" t="inlineStr">
        <is>
          <t>NEGATIVO</t>
        </is>
      </c>
      <c r="M63" s="9" t="inlineStr">
        <is>
          <t>NEGATIVO</t>
        </is>
      </c>
      <c r="N63" s="17" t="inlineStr">
        <is>
          <t>NEGATIVO</t>
        </is>
      </c>
      <c r="O63" t="inlineStr">
        <is>
          <t>NEGATIVO</t>
        </is>
      </c>
      <c r="Q63" t="inlineStr">
        <is>
          <t>NEGATIVO</t>
        </is>
      </c>
      <c r="S63" t="inlineStr">
        <is>
          <t>NEGATIVO</t>
        </is>
      </c>
      <c r="V63" s="17" t="inlineStr">
        <is>
          <t>NEGATIVO</t>
        </is>
      </c>
      <c r="W63" s="17" t="inlineStr">
        <is>
          <t>NEGATIVO</t>
        </is>
      </c>
    </row>
    <row r="64" ht="15.75" customHeight="1" thickBot="1">
      <c r="A64">
        <f>_xlfn.CONCAT(B64,,","," ",C64)</f>
        <v/>
      </c>
      <c r="B64" t="inlineStr">
        <is>
          <t>Del Plá</t>
        </is>
      </c>
      <c r="C64" t="inlineStr">
        <is>
          <t>Romina</t>
        </is>
      </c>
      <c r="D64" t="inlineStr">
        <is>
          <t>BUENOS AIRES</t>
        </is>
      </c>
      <c r="E64" s="1" t="n">
        <v>46001</v>
      </c>
      <c r="F64" s="1" t="n">
        <v>47461</v>
      </c>
      <c r="G64" t="inlineStr">
        <is>
          <t>FRENTE DE IZQUIERDA Y DE TRABAJADORES UNIDAD</t>
        </is>
      </c>
      <c r="H64" s="12" t="inlineStr">
        <is>
          <t>DE LAS PERSONAS MAYORES | DERECHOS HUMANOS Y GARANTIAS | LIBERTAD DE EXPRESION</t>
        </is>
      </c>
      <c r="I64" t="inlineStr">
        <is>
          <t>NEGATIVO</t>
        </is>
      </c>
      <c r="J64" s="17" t="inlineStr">
        <is>
          <t>NEGATIVO</t>
        </is>
      </c>
      <c r="L64" t="inlineStr">
        <is>
          <t>NEGATIVO</t>
        </is>
      </c>
      <c r="M64" s="9" t="inlineStr">
        <is>
          <t>NEGATIVO</t>
        </is>
      </c>
      <c r="N64" s="17" t="inlineStr">
        <is>
          <t>NEGATIVO</t>
        </is>
      </c>
      <c r="O64" t="inlineStr">
        <is>
          <t>NEGATIVO</t>
        </is>
      </c>
      <c r="Q64" t="inlineStr">
        <is>
          <t>NEGATIVO</t>
        </is>
      </c>
      <c r="S64" t="inlineStr">
        <is>
          <t>NEGATIVO</t>
        </is>
      </c>
      <c r="V64" s="17" t="inlineStr">
        <is>
          <t>NEGATIVO</t>
        </is>
      </c>
      <c r="W64" s="17" t="inlineStr">
        <is>
          <t>NEGATIVO</t>
        </is>
      </c>
    </row>
    <row r="65" ht="15.75" customHeight="1" thickBot="1">
      <c r="A65">
        <f>_xlfn.CONCAT(B65,,","," ",C65)</f>
        <v/>
      </c>
      <c r="B65" t="inlineStr">
        <is>
          <t>Díaz</t>
        </is>
      </c>
      <c r="C65" t="inlineStr">
        <is>
          <t>Fernanda</t>
        </is>
      </c>
      <c r="D65" t="inlineStr">
        <is>
          <t>BUENOS AIRES</t>
        </is>
      </c>
      <c r="E65" s="1" t="n">
        <v>46001</v>
      </c>
      <c r="F65" s="1" t="n">
        <v>47461</v>
      </c>
      <c r="G65" t="inlineStr">
        <is>
          <t>UNIÓN POR LA PATRIA</t>
        </is>
      </c>
      <c r="H65" s="12" t="inlineStr">
        <is>
          <t>EDUCACION | AGRICULTURA Y GANADERIA | ASUNTOS MUNICIPALES | PETICIONES, PODERES Y REGLAMENTO | DEPORTES | MERCOSUR</t>
        </is>
      </c>
      <c r="I65" t="inlineStr">
        <is>
          <t>NEGATIVO</t>
        </is>
      </c>
      <c r="J65" s="17" t="inlineStr">
        <is>
          <t>NEGATIVO</t>
        </is>
      </c>
      <c r="L65" t="inlineStr">
        <is>
          <t>NEGATIVO</t>
        </is>
      </c>
      <c r="M65" s="9" t="inlineStr">
        <is>
          <t>NEGATIVO</t>
        </is>
      </c>
      <c r="N65" s="17" t="inlineStr">
        <is>
          <t>NEGATIVO</t>
        </is>
      </c>
      <c r="O65" t="inlineStr">
        <is>
          <t>NEGATIVO</t>
        </is>
      </c>
      <c r="Q65" t="inlineStr">
        <is>
          <t>NEGATIVO</t>
        </is>
      </c>
      <c r="S65" t="inlineStr">
        <is>
          <t>NEGATIVO</t>
        </is>
      </c>
      <c r="V65" s="17" t="inlineStr">
        <is>
          <t>NEGATIVO</t>
        </is>
      </c>
      <c r="W65" s="17" t="inlineStr">
        <is>
          <t>NEGATIVO</t>
        </is>
      </c>
    </row>
    <row r="66" ht="15.75" customHeight="1" thickBot="1">
      <c r="A66">
        <f>_xlfn.CONCAT(B66,,","," ",C66)</f>
        <v/>
      </c>
      <c r="B66" t="inlineStr">
        <is>
          <t>Diez</t>
        </is>
      </c>
      <c r="C66" t="inlineStr">
        <is>
          <t>Romina</t>
        </is>
      </c>
      <c r="D66" t="inlineStr">
        <is>
          <t>SANTA FE</t>
        </is>
      </c>
      <c r="E66" s="1" t="n">
        <v>45270</v>
      </c>
      <c r="F66" s="1" t="n">
        <v>46730</v>
      </c>
      <c r="G66" t="inlineStr">
        <is>
          <t>LA LIBERTAD AVANZA</t>
        </is>
      </c>
      <c r="H66" s="12" t="inlineStr">
        <is>
          <t>DE LAS PERSONAS MAYORES | DERECHOS HUMANOS Y GARANTIAS | LIBERTAD DE EXPRESION</t>
        </is>
      </c>
      <c r="I66" t="inlineStr">
        <is>
          <t>AFIRMATIVO</t>
        </is>
      </c>
      <c r="J66" s="17" t="inlineStr">
        <is>
          <t>AFIRMATIVO</t>
        </is>
      </c>
      <c r="L66" t="inlineStr">
        <is>
          <t>AFIRMATIVO</t>
        </is>
      </c>
      <c r="M66" s="9" t="inlineStr">
        <is>
          <t>AFIRMATIVO</t>
        </is>
      </c>
      <c r="N66" s="17" t="inlineStr">
        <is>
          <t>AFIRMATIVO</t>
        </is>
      </c>
      <c r="O66" t="inlineStr">
        <is>
          <t>AFIRMATIVO</t>
        </is>
      </c>
      <c r="Q66" t="inlineStr">
        <is>
          <t>AFIRMATIVO</t>
        </is>
      </c>
      <c r="S66" t="inlineStr">
        <is>
          <t>AFIRMATIVO</t>
        </is>
      </c>
      <c r="V66" s="17" t="inlineStr">
        <is>
          <t>AFIRMATIVO</t>
        </is>
      </c>
      <c r="W66" s="17" t="inlineStr">
        <is>
          <t>AFIRMATIVO</t>
        </is>
      </c>
    </row>
    <row r="67" ht="15.75" customHeight="1" thickBot="1">
      <c r="A67">
        <f>_xlfn.CONCAT(B67,,","," ",C67)</f>
        <v/>
      </c>
      <c r="B67" t="inlineStr">
        <is>
          <t>Dolce</t>
        </is>
      </c>
      <c r="C67" t="inlineStr">
        <is>
          <t>Sergio</t>
        </is>
      </c>
      <c r="D67" t="inlineStr">
        <is>
          <t>CHACO</t>
        </is>
      </c>
      <c r="E67" s="1" t="n">
        <v>46001</v>
      </c>
      <c r="F67" s="1" t="n">
        <v>47461</v>
      </c>
      <c r="G67" t="inlineStr">
        <is>
          <t>UNIÓN POR LA PATRIA</t>
        </is>
      </c>
      <c r="H67" s="12" t="inlineStr">
        <is>
          <t>EDUCACION | AGRICULTURA Y GANADERIA | ASUNTOS MUNICIPALES</t>
        </is>
      </c>
      <c r="I67" t="inlineStr">
        <is>
          <t>NEGATIVO</t>
        </is>
      </c>
      <c r="J67" s="17" t="inlineStr">
        <is>
          <t>NEGATIVO</t>
        </is>
      </c>
      <c r="L67" t="inlineStr">
        <is>
          <t>NEGATIVO</t>
        </is>
      </c>
      <c r="M67" s="9" t="inlineStr">
        <is>
          <t>NEGATIVO</t>
        </is>
      </c>
      <c r="N67" s="17" t="inlineStr">
        <is>
          <t>NEGATIVO</t>
        </is>
      </c>
      <c r="O67" t="inlineStr">
        <is>
          <t>AFIRMATIVO</t>
        </is>
      </c>
      <c r="Q67" t="inlineStr">
        <is>
          <t>NEGATIVO</t>
        </is>
      </c>
      <c r="S67" t="inlineStr">
        <is>
          <t>NEGATIVO</t>
        </is>
      </c>
      <c r="V67" s="17" t="inlineStr">
        <is>
          <t>NEGATIVO</t>
        </is>
      </c>
      <c r="W67" s="17" t="inlineStr">
        <is>
          <t>NEGATIVO</t>
        </is>
      </c>
    </row>
    <row r="68" ht="15.75" customHeight="1" thickBot="1">
      <c r="A68">
        <f>_xlfn.CONCAT(B68,,","," ",C68)</f>
        <v/>
      </c>
      <c r="B68" t="inlineStr">
        <is>
          <t>Emma</t>
        </is>
      </c>
      <c r="C68" t="inlineStr">
        <is>
          <t>Nicolás</t>
        </is>
      </c>
      <c r="D68" t="inlineStr">
        <is>
          <t>CIUDAD DE BUENOS AIRES</t>
        </is>
      </c>
      <c r="E68" s="1" t="n">
        <v>46001</v>
      </c>
      <c r="F68" s="1" t="n">
        <v>47461</v>
      </c>
      <c r="G68" t="inlineStr">
        <is>
          <t>LA LIBERTAD AVANZA</t>
        </is>
      </c>
      <c r="H68" s="12" t="inlineStr">
        <is>
          <t>ASUNTOS CONSTITUCIONALES | JUSTICIA | LEGISLACION PENAL | PETICIONES, PODERES Y REGLAMENTO | JUICIO POLITICO | ANALISIS Y SEGUIMIENTO DEL CUMPLIMIENTO DE NORMAS TRIBUTARIAS Y PREVISIONALES</t>
        </is>
      </c>
      <c r="I68" t="inlineStr">
        <is>
          <t>AFIRMATIVO</t>
        </is>
      </c>
      <c r="J68" s="17" t="inlineStr">
        <is>
          <t>AFIRMATIVO</t>
        </is>
      </c>
      <c r="L68" t="inlineStr">
        <is>
          <t>AFIRMATIVO</t>
        </is>
      </c>
      <c r="M68" s="9" t="inlineStr">
        <is>
          <t>AFIRMATIVO</t>
        </is>
      </c>
      <c r="N68" s="17" t="inlineStr">
        <is>
          <t>AFIRMATIVO</t>
        </is>
      </c>
      <c r="O68" t="inlineStr">
        <is>
          <t>AFIRMATIVO</t>
        </is>
      </c>
      <c r="Q68" t="inlineStr">
        <is>
          <t>AFIRMATIVO</t>
        </is>
      </c>
      <c r="S68" t="inlineStr">
        <is>
          <t>AFIRMATIVO</t>
        </is>
      </c>
      <c r="V68" s="17" t="inlineStr">
        <is>
          <t>AFIRMATIVO</t>
        </is>
      </c>
      <c r="W68" s="17" t="inlineStr">
        <is>
          <t>AFIRMATIVO</t>
        </is>
      </c>
    </row>
    <row r="69" ht="15.75" customHeight="1" thickBot="1">
      <c r="A69">
        <f>_xlfn.CONCAT(B69,,","," ",C69)</f>
        <v/>
      </c>
      <c r="B69" t="inlineStr">
        <is>
          <t>Estévez</t>
        </is>
      </c>
      <c r="C69" t="inlineStr">
        <is>
          <t>Gabriela Beatriz</t>
        </is>
      </c>
      <c r="D69" t="inlineStr">
        <is>
          <t>CORDOBA</t>
        </is>
      </c>
      <c r="E69" s="1" t="n">
        <v>45270</v>
      </c>
      <c r="F69" s="1" t="n">
        <v>46730</v>
      </c>
      <c r="G69" t="inlineStr">
        <is>
          <t>UNIÓN POR LA PATRIA</t>
        </is>
      </c>
      <c r="H69" s="12" t="inlineStr">
        <is>
          <t>ACCION SOCIAL Y SALUD PUBLICA | AGRICULTURA Y GANADERIA | RECURSOS NATURALES Y CONSERVACION DEL AMBIENTE HUMANO | TURISMO</t>
        </is>
      </c>
      <c r="I69" t="inlineStr">
        <is>
          <t>NEGATIVO</t>
        </is>
      </c>
      <c r="J69" s="17" t="inlineStr">
        <is>
          <t>NEGATIVO</t>
        </is>
      </c>
      <c r="L69" t="inlineStr">
        <is>
          <t>NEGATIVO</t>
        </is>
      </c>
      <c r="M69" s="9" t="inlineStr">
        <is>
          <t>NEGATIVO</t>
        </is>
      </c>
      <c r="N69" s="17" t="inlineStr">
        <is>
          <t>NEGATIVO</t>
        </is>
      </c>
      <c r="O69" t="inlineStr">
        <is>
          <t>NEGATIVO</t>
        </is>
      </c>
      <c r="Q69" t="inlineStr">
        <is>
          <t>NEGATIVO</t>
        </is>
      </c>
      <c r="S69" t="inlineStr">
        <is>
          <t>NEGATIVO</t>
        </is>
      </c>
      <c r="V69" s="17" t="inlineStr">
        <is>
          <t>NEGATIVO</t>
        </is>
      </c>
      <c r="W69" s="17" t="inlineStr">
        <is>
          <t>NEGATIVO</t>
        </is>
      </c>
    </row>
    <row r="70" ht="15.75" customHeight="1" thickBot="1">
      <c r="A70">
        <f>_xlfn.CONCAT(B70,,","," ",C70)</f>
        <v/>
      </c>
      <c r="B70" t="inlineStr">
        <is>
          <t>Falcone</t>
        </is>
      </c>
      <c r="C70" t="inlineStr">
        <is>
          <t>Eduardo</t>
        </is>
      </c>
      <c r="D70" t="inlineStr">
        <is>
          <t>BUENOS AIRES</t>
        </is>
      </c>
      <c r="E70" s="1" t="n">
        <v>45270</v>
      </c>
      <c r="F70" s="1" t="n">
        <v>46730</v>
      </c>
      <c r="G70" t="inlineStr">
        <is>
          <t>MID - MOVIMIENTO DE INTEGRACIÓN Y DESARROLLO</t>
        </is>
      </c>
      <c r="H70" s="12" t="inlineStr">
        <is>
          <t>PRESUPUESTO Y HACIENDA | CULTURA | DE LAS PERSONAS MAYORES | VIVIENDA Y ORDENAMIENTO URBANO | PEQUEÑAS Y MEDIANAS EMPRESAS</t>
        </is>
      </c>
      <c r="I70" t="inlineStr">
        <is>
          <t>AFIRMATIVO</t>
        </is>
      </c>
      <c r="J70" s="17" t="inlineStr">
        <is>
          <t>AFIRMATIVO</t>
        </is>
      </c>
      <c r="L70" t="inlineStr">
        <is>
          <t>AFIRMATIVO</t>
        </is>
      </c>
      <c r="M70" s="9" t="inlineStr">
        <is>
          <t>ABSTENCIÓN</t>
        </is>
      </c>
      <c r="N70" s="17" t="inlineStr">
        <is>
          <t>AFIRMATIVO</t>
        </is>
      </c>
      <c r="O70" t="inlineStr">
        <is>
          <t>AFIRMATIVO</t>
        </is>
      </c>
      <c r="Q70" t="inlineStr">
        <is>
          <t>AFIRMATIVO</t>
        </is>
      </c>
      <c r="S70" t="inlineStr">
        <is>
          <t>AFIRMATIVO</t>
        </is>
      </c>
      <c r="V70" s="17" t="inlineStr">
        <is>
          <t>AFIRMATIVO</t>
        </is>
      </c>
      <c r="W70" s="17" t="inlineStr">
        <is>
          <t>AFIRMATIVO</t>
        </is>
      </c>
    </row>
    <row r="71" ht="15.75" customHeight="1" thickBot="1">
      <c r="A71">
        <f>_xlfn.CONCAT(B71,,","," ",C71)</f>
        <v/>
      </c>
      <c r="B71" t="inlineStr">
        <is>
          <t>Fargosi</t>
        </is>
      </c>
      <c r="C71" t="inlineStr">
        <is>
          <t>Alejandro</t>
        </is>
      </c>
      <c r="D71" t="inlineStr">
        <is>
          <t>CIUDAD DE BUENOS AIRES</t>
        </is>
      </c>
      <c r="E71" s="1" t="n">
        <v>46001</v>
      </c>
      <c r="F71" s="1" t="n">
        <v>47461</v>
      </c>
      <c r="G71" t="inlineStr">
        <is>
          <t>LA LIBERTAD AVANZA</t>
        </is>
      </c>
      <c r="H71" s="12" t="inlineStr">
        <is>
          <t>ASUNTOS CONSTITUCIONALES | JUSTICIA | COMUNICACIONES E INFORMATICA | MERCOSUR | LIBERTAD DE EXPRESION | DISCAPACIDAD</t>
        </is>
      </c>
      <c r="I71" t="inlineStr">
        <is>
          <t>AFIRMATIVO</t>
        </is>
      </c>
      <c r="J71" s="17" t="inlineStr">
        <is>
          <t>AFIRMATIVO</t>
        </is>
      </c>
      <c r="L71" t="inlineStr">
        <is>
          <t>AFIRMATIVO</t>
        </is>
      </c>
      <c r="M71" s="9" t="inlineStr">
        <is>
          <t>AFIRMATIVO</t>
        </is>
      </c>
      <c r="N71" s="17" t="inlineStr">
        <is>
          <t>AFIRMATIVO</t>
        </is>
      </c>
      <c r="O71" t="inlineStr">
        <is>
          <t>AFIRMATIVO</t>
        </is>
      </c>
      <c r="Q71" t="inlineStr">
        <is>
          <t>AFIRMATIVO</t>
        </is>
      </c>
      <c r="S71" t="inlineStr">
        <is>
          <t>AFIRMATIVO</t>
        </is>
      </c>
      <c r="V71" s="17" t="inlineStr">
        <is>
          <t>AFIRMATIVO</t>
        </is>
      </c>
      <c r="W71" s="17" t="inlineStr">
        <is>
          <t>AFIRMATIVO</t>
        </is>
      </c>
    </row>
    <row r="72" ht="15.75" customHeight="1" thickBot="1">
      <c r="A72">
        <f>_xlfn.CONCAT(B72,,","," ",C72)</f>
        <v/>
      </c>
      <c r="B72" t="inlineStr">
        <is>
          <t>Farías</t>
        </is>
      </c>
      <c r="C72" t="inlineStr">
        <is>
          <t>Pablo</t>
        </is>
      </c>
      <c r="D72" t="inlineStr">
        <is>
          <t>SANTA FE</t>
        </is>
      </c>
      <c r="E72" s="1" t="n">
        <v>46001</v>
      </c>
      <c r="F72" s="1" t="n">
        <v>47461</v>
      </c>
      <c r="G72" t="inlineStr">
        <is>
          <t>PROVINCIAS UNIDAS</t>
        </is>
      </c>
      <c r="H72" s="10" t="inlineStr">
        <is>
          <t>ASUNTOS CONSTITUCIONALES | JUSTICIA | LEGISLACION PENAL | OBRAS PUBLICAS | COMERCIO | COMUNICACIONES E INFORMATICA | TURISMO | ECONOMIA | PREVENCION DE ADICCIONES Y CONTROL DEL NARCOTRAFICO | DEPORTES | ASUNTOS COOPERATIVOS, MUTUALES Y ORGANIZACIONES NO GUBERNAMENTALES | MERCOSUR | PEQUEÑAS Y MEDIANAS EMPRESAS | DEFENSA DEL CONSUMIDOR, DEL USUARIO Y DE LA COMPETENCIA | DISCAPACIDAD</t>
        </is>
      </c>
      <c r="I72" t="inlineStr">
        <is>
          <t>ABSTENCIÓN</t>
        </is>
      </c>
      <c r="J72" s="17" t="inlineStr">
        <is>
          <t>AUSENTE</t>
        </is>
      </c>
      <c r="L72" t="inlineStr">
        <is>
          <t>NEGATIVO</t>
        </is>
      </c>
      <c r="M72" s="9" t="inlineStr">
        <is>
          <t>NEGATIVO</t>
        </is>
      </c>
      <c r="N72" s="17" t="inlineStr">
        <is>
          <t>AFIRMATIVO</t>
        </is>
      </c>
      <c r="O72" t="inlineStr">
        <is>
          <t>AFIRMATIVO</t>
        </is>
      </c>
      <c r="Q72" t="inlineStr">
        <is>
          <t>ABSTENCION</t>
        </is>
      </c>
      <c r="S72" t="inlineStr">
        <is>
          <t>NEGATIVO</t>
        </is>
      </c>
      <c r="V72" s="17" t="inlineStr">
        <is>
          <t>NEGATIVO</t>
        </is>
      </c>
      <c r="W72" s="17" t="inlineStr">
        <is>
          <t>AFIRMATIVO</t>
        </is>
      </c>
    </row>
    <row r="73" ht="15.75" customHeight="1" thickBot="1">
      <c r="A73">
        <f>_xlfn.CONCAT(B73,,","," ",C73)</f>
        <v/>
      </c>
      <c r="B73" t="inlineStr">
        <is>
          <t>Félix</t>
        </is>
      </c>
      <c r="C73" t="inlineStr">
        <is>
          <t>Emir</t>
        </is>
      </c>
      <c r="D73" t="inlineStr">
        <is>
          <t>MENDOZA</t>
        </is>
      </c>
      <c r="E73" s="1" t="n">
        <v>46001</v>
      </c>
      <c r="F73" s="1" t="n">
        <v>47461</v>
      </c>
      <c r="G73" t="inlineStr">
        <is>
          <t>UNIÓN POR LA PATRIA</t>
        </is>
      </c>
      <c r="H73" s="12" t="inlineStr">
        <is>
          <t>ASUNTOS CONSTITUCIONALES | AGRICULTURA Y GANADERIA | ENERGIA Y COMBUSTIBLES | ECONOMIAS Y DESARROLLO REGIONAL | MINERIA</t>
        </is>
      </c>
      <c r="I73" t="inlineStr">
        <is>
          <t>NEGATIVO</t>
        </is>
      </c>
      <c r="J73" s="17" t="inlineStr">
        <is>
          <t>NEGATIVO</t>
        </is>
      </c>
      <c r="L73" t="inlineStr">
        <is>
          <t>NEGATIVO</t>
        </is>
      </c>
      <c r="M73" s="9" t="inlineStr">
        <is>
          <t>NEGATIVO</t>
        </is>
      </c>
      <c r="N73" s="17" t="inlineStr">
        <is>
          <t>NEGATIVO</t>
        </is>
      </c>
      <c r="O73" t="inlineStr">
        <is>
          <t>AFIRMATIVO</t>
        </is>
      </c>
      <c r="Q73" t="inlineStr">
        <is>
          <t>NEGATIVO</t>
        </is>
      </c>
      <c r="S73" t="inlineStr">
        <is>
          <t>NEGATIVO</t>
        </is>
      </c>
      <c r="V73" s="17" t="inlineStr">
        <is>
          <t>NEGATIVO</t>
        </is>
      </c>
      <c r="W73" s="17" t="inlineStr">
        <is>
          <t>NEGATIVO</t>
        </is>
      </c>
    </row>
    <row r="74" ht="15.75" customHeight="1" thickBot="1">
      <c r="A74">
        <f>_xlfn.CONCAT(B74,,","," ",C74)</f>
        <v/>
      </c>
      <c r="B74" t="inlineStr">
        <is>
          <t>Fernández Molero</t>
        </is>
      </c>
      <c r="C74" t="inlineStr">
        <is>
          <t>Daiana</t>
        </is>
      </c>
      <c r="D74" t="inlineStr">
        <is>
          <t>CIUDAD DE BUENOS AIRES</t>
        </is>
      </c>
      <c r="E74" s="1" t="n">
        <v>45270</v>
      </c>
      <c r="F74" s="1" t="n">
        <v>46730</v>
      </c>
      <c r="G74" t="inlineStr">
        <is>
          <t>PRO</t>
        </is>
      </c>
      <c r="H74" s="12" t="inlineStr">
        <is>
          <t>RELACIONES EXTERIORES Y CULTO | PRESUPUESTO Y HACIENDA | CIENCIA, TECNOLOGIA E INNOVACION PRODUCTIVA | FINANZAS | COMERCIO | COMUNICACIONES E INFORMATICA | ANALISIS Y SEGUIMIENTO DEL CUMPLIMIENTO DE NORMAS TRIBUTARIAS Y PREVISIONALES</t>
        </is>
      </c>
      <c r="I74" t="inlineStr">
        <is>
          <t>AFIRMATIVO</t>
        </is>
      </c>
      <c r="J74" s="17" t="inlineStr">
        <is>
          <t>AFIRMATIVO</t>
        </is>
      </c>
      <c r="L74" t="inlineStr">
        <is>
          <t>AFIRMATIVO</t>
        </is>
      </c>
      <c r="M74" s="9" t="inlineStr">
        <is>
          <t>AFIRMATIVO</t>
        </is>
      </c>
      <c r="N74" s="17" t="inlineStr">
        <is>
          <t>AUSENTE</t>
        </is>
      </c>
      <c r="O74" t="inlineStr">
        <is>
          <t>AUSENTE</t>
        </is>
      </c>
      <c r="Q74" t="inlineStr">
        <is>
          <t>AFIRMATIVO</t>
        </is>
      </c>
      <c r="S74" t="inlineStr">
        <is>
          <t>AFIRMATIVO</t>
        </is>
      </c>
      <c r="V74" s="17" t="inlineStr">
        <is>
          <t>AFIRMATIVO</t>
        </is>
      </c>
      <c r="W74" s="17" t="inlineStr">
        <is>
          <t>AFIRMATIVO</t>
        </is>
      </c>
    </row>
    <row r="75" ht="15.75" customHeight="1" thickBot="1">
      <c r="A75">
        <f>_xlfn.CONCAT(B75,,","," ",C75)</f>
        <v/>
      </c>
      <c r="B75" t="inlineStr">
        <is>
          <t>Fernández</t>
        </is>
      </c>
      <c r="C75" t="inlineStr">
        <is>
          <t>Elia Marina</t>
        </is>
      </c>
      <c r="D75" t="inlineStr">
        <is>
          <t>TUCUMAN</t>
        </is>
      </c>
      <c r="E75" s="1" t="n">
        <v>46001</v>
      </c>
      <c r="F75" s="1" t="n">
        <v>46730</v>
      </c>
      <c r="G75" t="inlineStr">
        <is>
          <t>INDEPENDENCIA</t>
        </is>
      </c>
      <c r="H75" s="12" t="inlineStr">
        <is>
          <t>PRESUPUESTO Y HACIENDA | ASUNTOS MUNICIPALES</t>
        </is>
      </c>
      <c r="I75" t="inlineStr">
        <is>
          <t>AFIRMATIVO</t>
        </is>
      </c>
      <c r="J75" s="17" t="inlineStr">
        <is>
          <t>AFIRMATIVO</t>
        </is>
      </c>
      <c r="L75" t="inlineStr">
        <is>
          <t>AFIRMATIVO</t>
        </is>
      </c>
      <c r="M75" s="9" t="inlineStr">
        <is>
          <t>AFIRMATIVO</t>
        </is>
      </c>
      <c r="N75" s="17" t="inlineStr">
        <is>
          <t>AFIRMATIVO</t>
        </is>
      </c>
      <c r="O75" t="inlineStr">
        <is>
          <t>AFIRMATIVO</t>
        </is>
      </c>
      <c r="Q75" t="inlineStr">
        <is>
          <t>AFIRMATIVO</t>
        </is>
      </c>
      <c r="S75" t="inlineStr">
        <is>
          <t>AFIRMATIVO</t>
        </is>
      </c>
      <c r="V75" s="17" t="inlineStr">
        <is>
          <t>AFIRMATIVO</t>
        </is>
      </c>
      <c r="W75" s="17" t="inlineStr">
        <is>
          <t>AFIRMATIVO</t>
        </is>
      </c>
    </row>
    <row r="76" ht="15.75" customHeight="1" thickBot="1">
      <c r="A76">
        <f>_xlfn.CONCAT(B76,,","," ",C76)</f>
        <v/>
      </c>
      <c r="B76" t="inlineStr">
        <is>
          <t>Fernández</t>
        </is>
      </c>
      <c r="C76" t="inlineStr">
        <is>
          <t>Jorge</t>
        </is>
      </c>
      <c r="D76" t="inlineStr">
        <is>
          <t>SAN LUIS</t>
        </is>
      </c>
      <c r="E76" s="1" t="n">
        <v>46001</v>
      </c>
      <c r="F76" s="1" t="n">
        <v>47461</v>
      </c>
      <c r="G76" t="inlineStr">
        <is>
          <t>PRIMERO SAN LUIS</t>
        </is>
      </c>
      <c r="H76" s="12" t="inlineStr">
        <is>
          <t>Sin comisiones asignadas</t>
        </is>
      </c>
      <c r="I76" t="inlineStr">
        <is>
          <t>NEGATIVO</t>
        </is>
      </c>
      <c r="J76" s="17" t="inlineStr">
        <is>
          <t>ABSTENCIÓN</t>
        </is>
      </c>
      <c r="L76" t="inlineStr">
        <is>
          <t>NEGATIVO</t>
        </is>
      </c>
      <c r="M76" s="9" t="inlineStr">
        <is>
          <t>NEGATIVO</t>
        </is>
      </c>
      <c r="N76" s="17" t="inlineStr">
        <is>
          <t>NEGATIVO</t>
        </is>
      </c>
      <c r="O76" t="inlineStr">
        <is>
          <t>AFIRMATIVO</t>
        </is>
      </c>
      <c r="Q76" t="inlineStr">
        <is>
          <t>NEGATIVO</t>
        </is>
      </c>
      <c r="S76" t="inlineStr">
        <is>
          <t>NEGATIVO</t>
        </is>
      </c>
      <c r="V76" s="17" t="inlineStr">
        <is>
          <t>NEGATIVO</t>
        </is>
      </c>
      <c r="W76" s="17" t="inlineStr">
        <is>
          <t>NEGATIVO</t>
        </is>
      </c>
    </row>
    <row r="77" ht="15.75" customHeight="1" thickBot="1">
      <c r="A77">
        <f>_xlfn.CONCAT(B77,,","," ",C77)</f>
        <v/>
      </c>
      <c r="B77" t="inlineStr">
        <is>
          <t>Ferrán</t>
        </is>
      </c>
      <c r="C77" t="inlineStr">
        <is>
          <t>Abelardo</t>
        </is>
      </c>
      <c r="D77" t="inlineStr">
        <is>
          <t>LA PAMPA</t>
        </is>
      </c>
      <c r="E77" s="1" t="n">
        <v>46001</v>
      </c>
      <c r="F77" s="1" t="n">
        <v>47461</v>
      </c>
      <c r="G77" t="inlineStr">
        <is>
          <t>UNIÓN POR LA PATRIA</t>
        </is>
      </c>
      <c r="H77" s="12" t="inlineStr">
        <is>
          <t>OBRAS PUBLICAS | AGRICULTURA Y GANADERIA | FINANZAS | INDUSTRIA | ECONOMIAS Y DESARROLLO REGIONAL | RECURSOS NATURALES Y CONSERVACION DEL AMBIENTE HUMANO | MERCOSUR</t>
        </is>
      </c>
      <c r="I77" t="inlineStr">
        <is>
          <t>NEGATIVO</t>
        </is>
      </c>
      <c r="J77" s="17" t="inlineStr">
        <is>
          <t>NEGATIVO</t>
        </is>
      </c>
      <c r="L77" t="inlineStr">
        <is>
          <t>NEGATIVO</t>
        </is>
      </c>
      <c r="M77" s="9" t="inlineStr">
        <is>
          <t>NEGATIVO</t>
        </is>
      </c>
      <c r="N77" s="17" t="inlineStr">
        <is>
          <t>NEGATIVO</t>
        </is>
      </c>
      <c r="O77" t="inlineStr">
        <is>
          <t>AFIRMATIVO</t>
        </is>
      </c>
      <c r="Q77" t="inlineStr">
        <is>
          <t>NEGATIVO</t>
        </is>
      </c>
      <c r="S77" t="inlineStr">
        <is>
          <t>NEGATIVO</t>
        </is>
      </c>
      <c r="V77" s="17" t="inlineStr">
        <is>
          <t>NEGATIVO</t>
        </is>
      </c>
      <c r="W77" s="17" t="inlineStr">
        <is>
          <t>NEGATIVO</t>
        </is>
      </c>
    </row>
    <row r="78" ht="15.75" customHeight="1" thickBot="1">
      <c r="A78">
        <f>_xlfn.CONCAT(B78,,","," ",C78)</f>
        <v/>
      </c>
      <c r="B78" t="inlineStr">
        <is>
          <t>Ferraro</t>
        </is>
      </c>
      <c r="C78" t="inlineStr">
        <is>
          <t>Maximiliano</t>
        </is>
      </c>
      <c r="D78" t="inlineStr">
        <is>
          <t>CIUDAD DE BUENOS AIRES</t>
        </is>
      </c>
      <c r="E78" s="1" t="n">
        <v>45270</v>
      </c>
      <c r="F78" s="1" t="n">
        <v>46730</v>
      </c>
      <c r="G78" t="inlineStr">
        <is>
          <t>COALICION CIVICA</t>
        </is>
      </c>
      <c r="H78" s="10" t="inlineStr">
        <is>
          <t>LEGISLACION GENERAL | EDUCACION | CULTURA | TRANSPORTES | INTERESES MARITIMOS, FLUVIALES, PESQUEROS Y PORTUARIOS | VIVIENDA Y ORDENAMIENTO URBANO | PETICIONES, PODERES Y REGLAMENTO | JUICIO POLITICO | RECURSOS NATURALES Y CONSERVACION DEL AMBIENTE HUMANO</t>
        </is>
      </c>
      <c r="I78" t="inlineStr">
        <is>
          <t>ABSTENCIÓN</t>
        </is>
      </c>
      <c r="J78" s="17" t="inlineStr">
        <is>
          <t>NEGATIVO</t>
        </is>
      </c>
      <c r="L78" t="inlineStr">
        <is>
          <t>NEGATIVO</t>
        </is>
      </c>
      <c r="M78" s="9" t="inlineStr">
        <is>
          <t>NEGATIVO</t>
        </is>
      </c>
      <c r="N78" s="17" t="inlineStr">
        <is>
          <t>AFIRMATIVO</t>
        </is>
      </c>
      <c r="O78" t="inlineStr">
        <is>
          <t>AFIRMATIVO</t>
        </is>
      </c>
      <c r="Q78" t="inlineStr">
        <is>
          <t>ABSTENCION</t>
        </is>
      </c>
      <c r="S78" t="inlineStr">
        <is>
          <t>ABSTENCION</t>
        </is>
      </c>
      <c r="V78" s="17" t="inlineStr">
        <is>
          <t>NEGATIVO</t>
        </is>
      </c>
      <c r="W78" s="17" t="inlineStr">
        <is>
          <t>AUSENTE</t>
        </is>
      </c>
    </row>
    <row r="79" ht="15.75" customHeight="1" thickBot="1">
      <c r="A79">
        <f>_xlfn.CONCAT(B79,,","," ",C79)</f>
        <v/>
      </c>
      <c r="B79" t="inlineStr">
        <is>
          <t>Ferreyra</t>
        </is>
      </c>
      <c r="C79" t="inlineStr">
        <is>
          <t>Alida</t>
        </is>
      </c>
      <c r="D79" t="inlineStr">
        <is>
          <t>CIUDAD DE BUENOS AIRES</t>
        </is>
      </c>
      <c r="E79" s="1" t="n">
        <v>45322</v>
      </c>
      <c r="F79" s="1" t="n">
        <v>46730</v>
      </c>
      <c r="G79" t="inlineStr">
        <is>
          <t>LA LIBERTAD AVANZA</t>
        </is>
      </c>
      <c r="H79" s="12" t="inlineStr">
        <is>
          <t>ASUNTOS CONSTITUCIONALES | LEGISLACION GENERAL | EDUCACION | JUSTICIA | LEGISLACION PENAL | LEGISLACION DEL TRABAJO | PETICIONES, PODERES Y REGLAMENTO | DEFENSA DEL CONSUMIDOR, DEL USUARIO Y DE LA COMPETENCIA</t>
        </is>
      </c>
      <c r="I79" t="inlineStr">
        <is>
          <t>AFIRMATIVO</t>
        </is>
      </c>
      <c r="J79" s="17" t="inlineStr">
        <is>
          <t>AFIRMATIVO</t>
        </is>
      </c>
      <c r="L79" t="inlineStr">
        <is>
          <t>AFIRMATIVO</t>
        </is>
      </c>
      <c r="M79" s="9" t="inlineStr">
        <is>
          <t>AFIRMATIVO</t>
        </is>
      </c>
      <c r="N79" s="17" t="inlineStr">
        <is>
          <t>AFIRMATIVO</t>
        </is>
      </c>
      <c r="O79" t="inlineStr">
        <is>
          <t>AFIRMATIVO</t>
        </is>
      </c>
      <c r="Q79" t="inlineStr">
        <is>
          <t>AFIRMATIVO</t>
        </is>
      </c>
      <c r="S79" t="inlineStr">
        <is>
          <t>AFIRMATIVO</t>
        </is>
      </c>
      <c r="V79" s="17" t="inlineStr">
        <is>
          <t>AFIRMATIVO</t>
        </is>
      </c>
      <c r="W79" s="17" t="inlineStr">
        <is>
          <t>AFIRMATIVO</t>
        </is>
      </c>
    </row>
    <row r="80" ht="15.75" customHeight="1" thickBot="1">
      <c r="A80">
        <f>_xlfn.CONCAT(B80,,","," ",C80)</f>
        <v/>
      </c>
      <c r="B80" t="inlineStr">
        <is>
          <t>Figliuolo</t>
        </is>
      </c>
      <c r="C80" t="inlineStr">
        <is>
          <t>Sergio</t>
        </is>
      </c>
      <c r="D80" t="inlineStr">
        <is>
          <t>BUENOS AIRES</t>
        </is>
      </c>
      <c r="E80" s="1" t="n">
        <v>46001</v>
      </c>
      <c r="F80" s="1" t="n">
        <v>47461</v>
      </c>
      <c r="G80" t="inlineStr">
        <is>
          <t>LA LIBERTAD AVANZA</t>
        </is>
      </c>
      <c r="H80" s="12" t="inlineStr">
        <is>
          <t>CIENCIA, TECNOLOGIA E INNOVACION PRODUCTIVA | CULTURA | DEFENSA NACIONAL | COMUNICACIONES E INFORMATICA | TURISMO | DEPORTES | SEGURIDAD INTERIOR | LIBERTAD DE EXPRESION</t>
        </is>
      </c>
      <c r="I80" t="inlineStr">
        <is>
          <t>AFIRMATIVO</t>
        </is>
      </c>
      <c r="J80" s="17" t="inlineStr">
        <is>
          <t>AFIRMATIVO</t>
        </is>
      </c>
      <c r="L80" t="inlineStr">
        <is>
          <t>AFIRMATIVO</t>
        </is>
      </c>
      <c r="M80" s="9" t="inlineStr">
        <is>
          <t>AFIRMATIVO</t>
        </is>
      </c>
      <c r="N80" s="17" t="inlineStr">
        <is>
          <t>AFIRMATIVO</t>
        </is>
      </c>
      <c r="O80" t="inlineStr">
        <is>
          <t>AFIRMATIVO</t>
        </is>
      </c>
      <c r="Q80" t="inlineStr">
        <is>
          <t>AFIRMATIVO</t>
        </is>
      </c>
      <c r="S80" t="inlineStr">
        <is>
          <t>AFIRMATIVO</t>
        </is>
      </c>
      <c r="V80" s="17" t="inlineStr">
        <is>
          <t>AFIRMATIVO</t>
        </is>
      </c>
      <c r="W80" s="17" t="inlineStr">
        <is>
          <t>AFIRMATIVO</t>
        </is>
      </c>
    </row>
    <row r="81" ht="15.75" customHeight="1" thickBot="1">
      <c r="A81">
        <f>_xlfn.CONCAT(B81,,","," ",C81)</f>
        <v/>
      </c>
      <c r="B81" t="inlineStr">
        <is>
          <t>Finocchiaro</t>
        </is>
      </c>
      <c r="C81" t="inlineStr">
        <is>
          <t>Alejandro</t>
        </is>
      </c>
      <c r="D81" t="inlineStr">
        <is>
          <t>BUENOS AIRES</t>
        </is>
      </c>
      <c r="E81" s="1" t="n">
        <v>46001</v>
      </c>
      <c r="F81" s="1" t="n">
        <v>47461</v>
      </c>
      <c r="G81" t="inlineStr">
        <is>
          <t>PRO</t>
        </is>
      </c>
      <c r="H81" s="12" t="inlineStr">
        <is>
          <t>EDUCACION | DEFENSA NACIONAL | DERECHOS HUMANOS Y GARANTIAS | DEFENSA DEL CONSUMIDOR, DEL USUARIO Y DE LA COMPETENCIA | SEGURIDAD INTERIOR | LIBERTAD DE EXPRESION</t>
        </is>
      </c>
      <c r="I81" t="inlineStr">
        <is>
          <t>AFIRMATIVO</t>
        </is>
      </c>
      <c r="J81" s="17" t="inlineStr">
        <is>
          <t>AFIRMATIVO</t>
        </is>
      </c>
      <c r="L81" t="inlineStr">
        <is>
          <t>AFIRMATIVO</t>
        </is>
      </c>
      <c r="M81" s="9" t="inlineStr">
        <is>
          <t>AUSENTE</t>
        </is>
      </c>
      <c r="N81" s="17" t="inlineStr">
        <is>
          <t>AFIRMATIVO</t>
        </is>
      </c>
      <c r="O81" t="inlineStr">
        <is>
          <t>AFIRMATIVO</t>
        </is>
      </c>
      <c r="Q81" t="inlineStr">
        <is>
          <t>AFIRMATIVO</t>
        </is>
      </c>
      <c r="S81" t="inlineStr">
        <is>
          <t>AFIRMATIVO</t>
        </is>
      </c>
      <c r="V81" s="17" t="inlineStr">
        <is>
          <t>AFIRMATIVO</t>
        </is>
      </c>
      <c r="W81" s="17" t="inlineStr">
        <is>
          <t>AFIRMATIVO</t>
        </is>
      </c>
    </row>
    <row r="82" ht="15.75" customHeight="1" thickBot="1">
      <c r="A82">
        <f>_xlfn.CONCAT(B82,,","," ",C82)</f>
        <v/>
      </c>
      <c r="B82" t="inlineStr">
        <is>
          <t>Flores</t>
        </is>
      </c>
      <c r="C82" t="inlineStr">
        <is>
          <t>Maria Gabriela</t>
        </is>
      </c>
      <c r="D82" t="inlineStr">
        <is>
          <t>SALTA</t>
        </is>
      </c>
      <c r="E82" s="1" t="n">
        <v>46001</v>
      </c>
      <c r="F82" s="1" t="n">
        <v>47461</v>
      </c>
      <c r="G82" t="inlineStr">
        <is>
          <t>LA LIBERTAD AVANZA</t>
        </is>
      </c>
      <c r="H82" s="12" t="inlineStr">
        <is>
          <t>ASUNTOS CONSTITUCIONALES | ACCION SOCIAL Y SALUD PUBLICA | FAMILIAS, NIÑEZ Y JUVENTUDES | DE LAS PERSONAS MAYORES | VIVIENDA Y ORDENAMIENTO URBANO | DISCAPACIDAD | MUJERES Y DIVERSIDAD</t>
        </is>
      </c>
      <c r="I82" t="inlineStr">
        <is>
          <t>AFIRMATIVO</t>
        </is>
      </c>
      <c r="J82" s="17" t="inlineStr">
        <is>
          <t>AFIRMATIVO</t>
        </is>
      </c>
      <c r="L82" t="inlineStr">
        <is>
          <t>AFIRMATIVO</t>
        </is>
      </c>
      <c r="M82" s="9" t="inlineStr">
        <is>
          <t>AFIRMATIVO</t>
        </is>
      </c>
      <c r="N82" s="17" t="inlineStr">
        <is>
          <t>AFIRMATIVO</t>
        </is>
      </c>
      <c r="O82" t="inlineStr">
        <is>
          <t>AFIRMATIVO</t>
        </is>
      </c>
      <c r="Q82" t="inlineStr">
        <is>
          <t>AFIRMATIVO</t>
        </is>
      </c>
      <c r="S82" t="inlineStr">
        <is>
          <t>AFIRMATIVO</t>
        </is>
      </c>
      <c r="V82" s="17" t="inlineStr">
        <is>
          <t>AFIRMATIVO</t>
        </is>
      </c>
      <c r="W82" s="17" t="inlineStr">
        <is>
          <t>AFIRMATIVO</t>
        </is>
      </c>
    </row>
    <row r="83" ht="15.75" customHeight="1" thickBot="1">
      <c r="A83">
        <f>_xlfn.CONCAT(B83,,","," ",C83)</f>
        <v/>
      </c>
      <c r="B83" t="inlineStr">
        <is>
          <t>Frade</t>
        </is>
      </c>
      <c r="C83" t="inlineStr">
        <is>
          <t>Mónica</t>
        </is>
      </c>
      <c r="D83" t="inlineStr">
        <is>
          <t>BUENOS AIRES</t>
        </is>
      </c>
      <c r="E83" s="1" t="n">
        <v>45270</v>
      </c>
      <c r="F83" s="1" t="n">
        <v>46730</v>
      </c>
      <c r="G83" t="inlineStr">
        <is>
          <t>COALICION CIVICA</t>
        </is>
      </c>
      <c r="H83" s="10" t="inlineStr">
        <is>
          <t>LEGISLACION DEL TRABAJO | PREVENCION DE ADICCIONES Y CONTROL DEL NARCOTRAFICO | POBLACION Y DESARROLLO HUMANO | DERECHOS HUMANOS Y GARANTIAS | DEFENSA DEL CONSUMIDOR, DEL USUARIO Y DE LA COMPETENCIA | SEGURIDAD INTERIOR | LIBERTAD DE EXPRESION | MUJERES Y DIVERSIDAD</t>
        </is>
      </c>
      <c r="I83" t="inlineStr">
        <is>
          <t>ABSTENCIÓN</t>
        </is>
      </c>
      <c r="J83" s="17" t="inlineStr">
        <is>
          <t>AUSENTE</t>
        </is>
      </c>
      <c r="L83" t="inlineStr">
        <is>
          <t>NEGATIVO</t>
        </is>
      </c>
      <c r="M83" s="9" t="inlineStr">
        <is>
          <t>NEGATIVO</t>
        </is>
      </c>
      <c r="N83" s="17" t="inlineStr">
        <is>
          <t>AUSENTE</t>
        </is>
      </c>
      <c r="O83" t="inlineStr">
        <is>
          <t>AFIRMATIVO</t>
        </is>
      </c>
      <c r="Q83" t="inlineStr">
        <is>
          <t>NEGATIVO</t>
        </is>
      </c>
      <c r="S83" t="inlineStr">
        <is>
          <t>AUSENTE</t>
        </is>
      </c>
      <c r="V83" s="17" t="inlineStr">
        <is>
          <t>NEGATIVO</t>
        </is>
      </c>
      <c r="W83" s="17" t="inlineStr">
        <is>
          <t>AUSENTE</t>
        </is>
      </c>
    </row>
    <row r="84" ht="15.75" customHeight="1" thickBot="1">
      <c r="A84">
        <f>_xlfn.CONCAT(B84,,","," ",C84)</f>
        <v/>
      </c>
      <c r="B84" t="inlineStr">
        <is>
          <t>Fregonese</t>
        </is>
      </c>
      <c r="C84" t="inlineStr">
        <is>
          <t>Alicia</t>
        </is>
      </c>
      <c r="D84" t="inlineStr">
        <is>
          <t>ENTRE RIOS</t>
        </is>
      </c>
      <c r="E84" s="1" t="n">
        <v>46001</v>
      </c>
      <c r="F84" s="1" t="n">
        <v>47461</v>
      </c>
      <c r="G84" t="inlineStr">
        <is>
          <t>PRO</t>
        </is>
      </c>
      <c r="H84" s="12" t="inlineStr">
        <is>
          <t>FAMILIAS, NIÑEZ Y JUVENTUDES | AGRICULTURA Y GANADERIA | RECURSOS NATURALES Y CONSERVACION DEL AMBIENTE HUMANO | POBLACION Y DESARROLLO HUMANO | PEQUEÑAS Y MEDIANAS EMPRESAS | LIBERTAD DE EXPRESION | DISCAPACIDAD</t>
        </is>
      </c>
      <c r="I84" t="inlineStr">
        <is>
          <t>AFIRMATIVO</t>
        </is>
      </c>
      <c r="J84" s="17" t="inlineStr">
        <is>
          <t>AFIRMATIVO</t>
        </is>
      </c>
      <c r="L84" t="inlineStr">
        <is>
          <t>AFIRMATIVO</t>
        </is>
      </c>
      <c r="M84" s="9" t="inlineStr">
        <is>
          <t>AFIRMATIVO</t>
        </is>
      </c>
      <c r="N84" s="17" t="inlineStr">
        <is>
          <t>AFIRMATIVO</t>
        </is>
      </c>
      <c r="O84" t="inlineStr">
        <is>
          <t>AFIRMATIVO</t>
        </is>
      </c>
      <c r="Q84" t="inlineStr">
        <is>
          <t>AFIRMATIVO</t>
        </is>
      </c>
      <c r="S84" t="inlineStr">
        <is>
          <t>AFIRMATIVO</t>
        </is>
      </c>
      <c r="V84" s="17" t="inlineStr">
        <is>
          <t>AFIRMATIVO</t>
        </is>
      </c>
      <c r="W84" s="17" t="inlineStr">
        <is>
          <t>AFIRMATIVO</t>
        </is>
      </c>
    </row>
    <row r="85" ht="15.75" customHeight="1" thickBot="1">
      <c r="A85">
        <f>_xlfn.CONCAT(B85,,","," ",C85)</f>
        <v/>
      </c>
      <c r="B85" t="inlineStr">
        <is>
          <t>Freites</t>
        </is>
      </c>
      <c r="C85" t="inlineStr">
        <is>
          <t>Andrea</t>
        </is>
      </c>
      <c r="D85" t="inlineStr">
        <is>
          <t>TIERRA DEL FUEGO</t>
        </is>
      </c>
      <c r="E85" s="1" t="n">
        <v>45270</v>
      </c>
      <c r="F85" s="1" t="n">
        <v>46730</v>
      </c>
      <c r="G85" t="inlineStr">
        <is>
          <t>UNIÓN POR LA PATRIA</t>
        </is>
      </c>
      <c r="H85" s="10" t="inlineStr">
        <is>
          <t>PRESUPUESTO Y HACIENDA | CIENCIA, TECNOLOGIA E INNOVACION PRODUCTIVA | CULTURA | ACCION SOCIAL Y SALUD PUBLICA | OBRAS PUBLICAS | COMERCIO | ECONOMIAS Y DESARROLLO REGIONAL | ANALISIS Y SEGUIMIENTO DEL CUMPLIMIENTO DE NORMAS TRIBUTARIAS Y PREVISIONALES | DEFENSA DEL CONSUMIDOR, DEL USUARIO Y DE LA COMPETENCIA</t>
        </is>
      </c>
      <c r="I85" t="inlineStr">
        <is>
          <t>NEGATIVO</t>
        </is>
      </c>
      <c r="J85" s="17" t="inlineStr">
        <is>
          <t>AUSENTE</t>
        </is>
      </c>
      <c r="L85" t="inlineStr">
        <is>
          <t>NEGATIVO</t>
        </is>
      </c>
      <c r="M85" s="9" t="inlineStr">
        <is>
          <t>NEGATIVO</t>
        </is>
      </c>
      <c r="N85" s="17" t="inlineStr">
        <is>
          <t>NEGATIVO</t>
        </is>
      </c>
      <c r="O85" t="inlineStr">
        <is>
          <t>NEGATIVO</t>
        </is>
      </c>
      <c r="Q85" t="inlineStr">
        <is>
          <t>NEGATIVO</t>
        </is>
      </c>
      <c r="S85" t="inlineStr">
        <is>
          <t>NEGATIVO</t>
        </is>
      </c>
      <c r="V85" s="17" t="inlineStr">
        <is>
          <t>NEGATIVO</t>
        </is>
      </c>
      <c r="W85" s="17" t="inlineStr">
        <is>
          <t>NEGATIVO</t>
        </is>
      </c>
    </row>
    <row r="86" ht="15.75" customHeight="1" thickBot="1">
      <c r="A86">
        <f>_xlfn.CONCAT(B86,,","," ",C86)</f>
        <v/>
      </c>
      <c r="B86" t="inlineStr">
        <is>
          <t>Frias</t>
        </is>
      </c>
      <c r="C86" t="inlineStr">
        <is>
          <t>Maira</t>
        </is>
      </c>
      <c r="D86" t="inlineStr">
        <is>
          <t>CHUBUT</t>
        </is>
      </c>
      <c r="E86" s="1" t="n">
        <v>46001</v>
      </c>
      <c r="F86" s="1" t="n">
        <v>47461</v>
      </c>
      <c r="G86" t="inlineStr">
        <is>
          <t>LA LIBERTAD AVANZA</t>
        </is>
      </c>
      <c r="H86" s="10" t="inlineStr">
        <is>
          <t>ASUNTOS CONSTITUCIONALES | PREVISION Y SEGURIDAD SOCIAL | FAMILIAS, NIÑEZ Y JUVENTUDES | DE LAS PERSONAS MAYORES | INTERESES MARITIMOS, FLUVIALES, PESQUEROS Y PORTUARIOS | VIVIENDA Y ORDENAMIENTO URBANO | DEFENSA DEL CONSUMIDOR, DEL USUARIO Y DE LA COMPETENCIA | MUJERES Y DIVERSIDAD</t>
        </is>
      </c>
      <c r="I86" t="inlineStr">
        <is>
          <t>AFIRMATIVO</t>
        </is>
      </c>
      <c r="J86" s="17" t="inlineStr">
        <is>
          <t>AFIRMATIVO</t>
        </is>
      </c>
      <c r="L86" t="inlineStr">
        <is>
          <t>AFIRMATIVO</t>
        </is>
      </c>
      <c r="M86" s="9" t="inlineStr">
        <is>
          <t>AFIRMATIVO</t>
        </is>
      </c>
      <c r="N86" s="17" t="inlineStr">
        <is>
          <t>AFIRMATIVO</t>
        </is>
      </c>
      <c r="O86" t="inlineStr">
        <is>
          <t>AFIRMATIVO</t>
        </is>
      </c>
      <c r="Q86" t="inlineStr">
        <is>
          <t>AFIRMATIVO</t>
        </is>
      </c>
      <c r="S86" t="inlineStr">
        <is>
          <t>AFIRMATIVO</t>
        </is>
      </c>
      <c r="V86" s="17" t="inlineStr">
        <is>
          <t>AFIRMATIVO</t>
        </is>
      </c>
      <c r="W86" s="17" t="inlineStr">
        <is>
          <t>AFIRMATIVO</t>
        </is>
      </c>
    </row>
    <row r="87" ht="15.75" customHeight="1" thickBot="1">
      <c r="A87">
        <f>_xlfn.CONCAT(B87,,","," ",C87)</f>
        <v/>
      </c>
      <c r="B87" t="inlineStr">
        <is>
          <t>Gallardo</t>
        </is>
      </c>
      <c r="C87" t="inlineStr">
        <is>
          <t>María Virginia</t>
        </is>
      </c>
      <c r="D87" t="inlineStr">
        <is>
          <t>CORRIENTES</t>
        </is>
      </c>
      <c r="E87" s="1" t="n">
        <v>46001</v>
      </c>
      <c r="F87" s="1" t="n">
        <v>47461</v>
      </c>
      <c r="G87" t="inlineStr">
        <is>
          <t>LA LIBERTAD AVANZA</t>
        </is>
      </c>
      <c r="H87" s="12" t="inlineStr">
        <is>
          <t>CULTURA | FAMILIAS, NIÑEZ Y JUVENTUDES | DE LAS PERSONAS MAYORES | ECONOMIAS Y DESARROLLO REGIONAL | DISCAPACIDAD | MUJERES Y DIVERSIDAD</t>
        </is>
      </c>
      <c r="I87" t="inlineStr">
        <is>
          <t>AFIRMATIVO</t>
        </is>
      </c>
      <c r="J87" s="17" t="inlineStr">
        <is>
          <t>AFIRMATIVO</t>
        </is>
      </c>
      <c r="L87" t="inlineStr">
        <is>
          <t>AFIRMATIVO</t>
        </is>
      </c>
      <c r="M87" s="9" t="inlineStr">
        <is>
          <t>AFIRMATIVO</t>
        </is>
      </c>
      <c r="N87" s="17" t="inlineStr">
        <is>
          <t>AFIRMATIVO</t>
        </is>
      </c>
      <c r="O87" t="inlineStr">
        <is>
          <t>AFIRMATIVO</t>
        </is>
      </c>
      <c r="Q87" t="inlineStr">
        <is>
          <t>AFIRMATIVO</t>
        </is>
      </c>
      <c r="S87" t="inlineStr">
        <is>
          <t>AFIRMATIVO</t>
        </is>
      </c>
      <c r="V87" s="17" t="inlineStr">
        <is>
          <t>AFIRMATIVO</t>
        </is>
      </c>
      <c r="W87" s="17" t="inlineStr">
        <is>
          <t>AFIRMATIVO</t>
        </is>
      </c>
    </row>
    <row r="88" ht="15.75" customHeight="1" thickBot="1">
      <c r="A88">
        <f>_xlfn.CONCAT(B88,,","," ",C88)</f>
        <v/>
      </c>
      <c r="B88" t="inlineStr">
        <is>
          <t>Galmarini</t>
        </is>
      </c>
      <c r="C88" t="inlineStr">
        <is>
          <t>Sebastián</t>
        </is>
      </c>
      <c r="D88" t="inlineStr">
        <is>
          <t>BUENOS AIRES</t>
        </is>
      </c>
      <c r="E88" s="1" t="n">
        <v>46001</v>
      </c>
      <c r="F88" s="1" t="n">
        <v>47461</v>
      </c>
      <c r="G88" t="inlineStr">
        <is>
          <t>UNIÓN POR LA PATRIA</t>
        </is>
      </c>
      <c r="H88" s="12" t="inlineStr">
        <is>
          <t>ASUNTOS CONSTITUCIONALES | JUSTICIA | FINANZAS | COMUNICACIONES E INFORMATICA | PETICIONES, PODERES Y REGLAMENTO</t>
        </is>
      </c>
      <c r="I88" t="inlineStr">
        <is>
          <t>NEGATIVO</t>
        </is>
      </c>
      <c r="J88" s="17" t="inlineStr">
        <is>
          <t>NEGATIVO</t>
        </is>
      </c>
      <c r="L88" t="inlineStr">
        <is>
          <t>NEGATIVO</t>
        </is>
      </c>
      <c r="M88" s="9" t="inlineStr">
        <is>
          <t>NEGATIVO</t>
        </is>
      </c>
      <c r="N88" s="17" t="inlineStr">
        <is>
          <t>NEGATIVO</t>
        </is>
      </c>
      <c r="O88" t="inlineStr">
        <is>
          <t>AFIRMATIVO</t>
        </is>
      </c>
      <c r="Q88" t="inlineStr">
        <is>
          <t>NEGATIVO</t>
        </is>
      </c>
      <c r="S88" t="inlineStr">
        <is>
          <t>NEGATIVO</t>
        </is>
      </c>
      <c r="V88" s="17" t="inlineStr">
        <is>
          <t>AUSENTE</t>
        </is>
      </c>
      <c r="W88" s="17" t="inlineStr">
        <is>
          <t>AUSENTE</t>
        </is>
      </c>
    </row>
    <row r="89" ht="15.75" customHeight="1" thickBot="1">
      <c r="A89">
        <f>_xlfn.CONCAT(B89,,","," ",C89)</f>
        <v/>
      </c>
      <c r="B89" t="inlineStr">
        <is>
          <t>García Aresca</t>
        </is>
      </c>
      <c r="C89" t="inlineStr">
        <is>
          <t>Ignacio</t>
        </is>
      </c>
      <c r="D89" t="inlineStr">
        <is>
          <t>CORDOBA</t>
        </is>
      </c>
      <c r="E89" s="1" t="n">
        <v>46001</v>
      </c>
      <c r="F89" s="1" t="n">
        <v>47461</v>
      </c>
      <c r="G89" t="inlineStr">
        <is>
          <t>PROVINCIAS UNIDAS</t>
        </is>
      </c>
      <c r="H89" s="12" t="inlineStr">
        <is>
          <t>PRESUPUESTO Y HACIENDA | FINANZAS | TRANSPORTES | ECONOMIAS Y DESARROLLO REGIONAL | TURISMO | SEGURIDAD INTERIOR</t>
        </is>
      </c>
      <c r="I89" t="inlineStr">
        <is>
          <t>ABSTENCIÓN</t>
        </is>
      </c>
      <c r="J89" s="17" t="inlineStr">
        <is>
          <t>NEGATIVO</t>
        </is>
      </c>
      <c r="L89" t="inlineStr">
        <is>
          <t>AUSENTE</t>
        </is>
      </c>
      <c r="M89" s="9" t="inlineStr">
        <is>
          <t>AUSENTE</t>
        </is>
      </c>
      <c r="N89" s="17" t="inlineStr">
        <is>
          <t>AFIRMATIVO</t>
        </is>
      </c>
      <c r="O89" t="inlineStr">
        <is>
          <t>AFIRMATIVO</t>
        </is>
      </c>
      <c r="Q89" t="inlineStr">
        <is>
          <t>ABSTENCION</t>
        </is>
      </c>
      <c r="S89" t="inlineStr">
        <is>
          <t>NEGATIVO</t>
        </is>
      </c>
      <c r="V89" s="17" t="inlineStr">
        <is>
          <t>AUSENTE</t>
        </is>
      </c>
      <c r="W89" s="17" t="inlineStr">
        <is>
          <t>AUSENTE</t>
        </is>
      </c>
    </row>
    <row r="90" ht="15.75" customHeight="1" thickBot="1">
      <c r="A90">
        <f>_xlfn.CONCAT(B90,,","," ",C90)</f>
        <v/>
      </c>
      <c r="B90" t="inlineStr">
        <is>
          <t>García</t>
        </is>
      </c>
      <c r="C90" t="inlineStr">
        <is>
          <t>Álvaro</t>
        </is>
      </c>
      <c r="D90" t="inlineStr">
        <is>
          <t>BUENOS AIRES</t>
        </is>
      </c>
      <c r="E90" s="1" t="n">
        <v>46001</v>
      </c>
      <c r="F90" s="1" t="n">
        <v>47461</v>
      </c>
      <c r="G90" t="inlineStr">
        <is>
          <t>LA LIBERTAD AVANZA</t>
        </is>
      </c>
      <c r="H90" s="12" t="inlineStr">
        <is>
          <t>CIENCIA, TECNOLOGIA E INNOVACION PRODUCTIVA | CULTURA | OBRAS PUBLICAS | FINANZAS | ENERGIA Y COMBUSTIBLES | TRANSPORTES | POBLACION Y DESARROLLO HUMANO | DEPORTES</t>
        </is>
      </c>
      <c r="I90" t="inlineStr">
        <is>
          <t>AFIRMATIVO</t>
        </is>
      </c>
      <c r="J90" s="17" t="inlineStr">
        <is>
          <t>AFIRMATIVO</t>
        </is>
      </c>
      <c r="L90" t="inlineStr">
        <is>
          <t>AFIRMATIVO</t>
        </is>
      </c>
      <c r="M90" s="9" t="inlineStr">
        <is>
          <t>AFIRMATIVO</t>
        </is>
      </c>
      <c r="N90" s="17" t="inlineStr">
        <is>
          <t>AFIRMATIVO</t>
        </is>
      </c>
      <c r="O90" t="inlineStr">
        <is>
          <t>AFIRMATIVO</t>
        </is>
      </c>
      <c r="Q90" t="inlineStr">
        <is>
          <t>AFIRMATIVO</t>
        </is>
      </c>
      <c r="S90" t="inlineStr">
        <is>
          <t>AFIRMATIVO</t>
        </is>
      </c>
      <c r="V90" s="17" t="inlineStr">
        <is>
          <t>AFIRMATIVO</t>
        </is>
      </c>
      <c r="W90" s="17" t="inlineStr">
        <is>
          <t>AFIRMATIVO</t>
        </is>
      </c>
    </row>
    <row r="91" ht="15.75" customHeight="1" thickBot="1">
      <c r="A91">
        <f>_xlfn.CONCAT(B91,,","," ",C91)</f>
        <v/>
      </c>
      <c r="B91" t="inlineStr">
        <is>
          <t>García</t>
        </is>
      </c>
      <c r="C91" t="inlineStr">
        <is>
          <t>Carlos</t>
        </is>
      </c>
      <c r="D91" t="inlineStr">
        <is>
          <t>CHACO</t>
        </is>
      </c>
      <c r="E91" s="1" t="n">
        <v>45270</v>
      </c>
      <c r="F91" s="1" t="n">
        <v>46730</v>
      </c>
      <c r="G91" t="inlineStr">
        <is>
          <t>LA LIBERTAD AVANZA</t>
        </is>
      </c>
      <c r="H91" s="12" t="inlineStr">
        <is>
          <t>OBRAS PUBLICAS | AGRICULTURA Y GANADERIA | INDUSTRIA | COMERCIO | PEQUEÑAS Y MEDIANAS EMPRESAS</t>
        </is>
      </c>
      <c r="I91" t="inlineStr">
        <is>
          <t>AFIRMATIVO</t>
        </is>
      </c>
      <c r="J91" s="17" t="inlineStr">
        <is>
          <t>AFIRMATIVO</t>
        </is>
      </c>
      <c r="L91" t="inlineStr">
        <is>
          <t>AFIRMATIVO</t>
        </is>
      </c>
      <c r="M91" s="9" t="inlineStr">
        <is>
          <t>AFIRMATIVO</t>
        </is>
      </c>
      <c r="N91" s="17" t="inlineStr">
        <is>
          <t>AFIRMATIVO</t>
        </is>
      </c>
      <c r="O91" t="inlineStr">
        <is>
          <t>AFIRMATIVO</t>
        </is>
      </c>
      <c r="Q91" t="inlineStr">
        <is>
          <t>AFIRMATIVO</t>
        </is>
      </c>
      <c r="S91" t="inlineStr">
        <is>
          <t>AFIRMATIVO</t>
        </is>
      </c>
      <c r="V91" s="17" t="inlineStr">
        <is>
          <t>AFIRMATIVO</t>
        </is>
      </c>
      <c r="W91" s="17" t="inlineStr">
        <is>
          <t>AFIRMATIVO</t>
        </is>
      </c>
    </row>
    <row r="92" ht="15.75" customHeight="1" thickBot="1">
      <c r="A92">
        <f>_xlfn.CONCAT(B92,,","," ",C92)</f>
        <v/>
      </c>
      <c r="B92" t="inlineStr">
        <is>
          <t>García</t>
        </is>
      </c>
      <c r="C92" t="inlineStr">
        <is>
          <t>María Teresa</t>
        </is>
      </c>
      <c r="D92" t="inlineStr">
        <is>
          <t>BUENOS AIRES</t>
        </is>
      </c>
      <c r="E92" s="1" t="n">
        <v>46001</v>
      </c>
      <c r="F92" s="1" t="n">
        <v>47461</v>
      </c>
      <c r="G92" t="inlineStr">
        <is>
          <t>UNIÓN POR LA PATRIA</t>
        </is>
      </c>
      <c r="H92" s="12" t="inlineStr">
        <is>
          <t>ASUNTOS CONSTITUCIONALES | PETICIONES, PODERES Y REGLAMENTO | JUICIO POLITICO | DERECHOS HUMANOS Y GARANTIAS | DEFENSA DEL CONSUMIDOR, DEL USUARIO Y DE LA COMPETENCIA</t>
        </is>
      </c>
      <c r="I92" t="inlineStr">
        <is>
          <t>NEGATIVO</t>
        </is>
      </c>
      <c r="J92" s="17" t="inlineStr">
        <is>
          <t>NEGATIVO</t>
        </is>
      </c>
      <c r="L92" t="inlineStr">
        <is>
          <t>NEGATIVO</t>
        </is>
      </c>
      <c r="M92" s="9" t="inlineStr">
        <is>
          <t>NEGATIVO</t>
        </is>
      </c>
      <c r="N92" s="17" t="inlineStr">
        <is>
          <t>NEGATIVO</t>
        </is>
      </c>
      <c r="O92" t="inlineStr">
        <is>
          <t>NEGATIVO</t>
        </is>
      </c>
      <c r="Q92" t="inlineStr">
        <is>
          <t>NEGATIVO</t>
        </is>
      </c>
      <c r="S92" t="inlineStr">
        <is>
          <t>NEGATIVO</t>
        </is>
      </c>
      <c r="V92" s="17" t="inlineStr">
        <is>
          <t>NEGATIVO</t>
        </is>
      </c>
      <c r="W92" s="17" t="inlineStr">
        <is>
          <t>NEGATIVO</t>
        </is>
      </c>
    </row>
    <row r="93" ht="15.75" customHeight="1" thickBot="1">
      <c r="A93">
        <f>_xlfn.CONCAT(B93,,","," ",C93)</f>
        <v/>
      </c>
      <c r="B93" t="inlineStr">
        <is>
          <t>Garrido</t>
        </is>
      </c>
      <c r="C93" t="inlineStr">
        <is>
          <t>José Luis</t>
        </is>
      </c>
      <c r="D93" t="inlineStr">
        <is>
          <t>SANTA CRUZ</t>
        </is>
      </c>
      <c r="E93" s="1" t="n">
        <v>45270</v>
      </c>
      <c r="F93" s="1" t="n">
        <v>46730</v>
      </c>
      <c r="G93" t="inlineStr">
        <is>
          <t>POR SANTA CRUZ</t>
        </is>
      </c>
      <c r="H93" s="12" t="inlineStr">
        <is>
          <t>PREVISION Y SEGURIDAD SOCIAL | INDUSTRIA | DEPORTES</t>
        </is>
      </c>
      <c r="I93" t="inlineStr">
        <is>
          <t>AFIRMATIVO</t>
        </is>
      </c>
      <c r="J93" s="17" t="inlineStr">
        <is>
          <t>AFIRMATIVO</t>
        </is>
      </c>
      <c r="L93" t="inlineStr">
        <is>
          <t>AFIRMATIVO</t>
        </is>
      </c>
      <c r="M93" s="9" t="inlineStr">
        <is>
          <t>AFIRMATIVO</t>
        </is>
      </c>
      <c r="N93" s="17" t="inlineStr">
        <is>
          <t>AFIRMATIVO</t>
        </is>
      </c>
      <c r="O93" t="inlineStr">
        <is>
          <t>AFIRMATIVO</t>
        </is>
      </c>
      <c r="Q93" t="inlineStr">
        <is>
          <t>AFIRMATIVO</t>
        </is>
      </c>
      <c r="S93" t="inlineStr">
        <is>
          <t>AFIRMATIVO</t>
        </is>
      </c>
      <c r="V93" s="17" t="inlineStr">
        <is>
          <t>AFIRMATIVO</t>
        </is>
      </c>
      <c r="W93" s="17" t="inlineStr">
        <is>
          <t>AFIRMATIVO</t>
        </is>
      </c>
    </row>
    <row r="94" ht="15.75" customHeight="1" thickBot="1">
      <c r="A94">
        <f>_xlfn.CONCAT(B94,,","," ",C94)</f>
        <v/>
      </c>
      <c r="B94" t="inlineStr">
        <is>
          <t>Giampieri</t>
        </is>
      </c>
      <c r="C94" t="inlineStr">
        <is>
          <t>Antonela</t>
        </is>
      </c>
      <c r="D94" t="inlineStr">
        <is>
          <t>CIUDAD DE BUENOS AIRES</t>
        </is>
      </c>
      <c r="E94" s="1" t="n">
        <v>46001</v>
      </c>
      <c r="F94" s="1" t="n">
        <v>47461</v>
      </c>
      <c r="G94" t="inlineStr">
        <is>
          <t>PRO</t>
        </is>
      </c>
      <c r="H94" s="10" t="inlineStr">
        <is>
          <t>LEGISLACION GENERAL | JUSTICIA | ACCION SOCIAL Y SALUD PUBLICA | FAMILIAS, NIÑEZ Y JUVENTUDES | LEGISLACION DEL TRABAJO | PETICIONES, PODERES Y REGLAMENTO | JUICIO POLITICO | PREVENCION DE ADICCIONES Y CONTROL DEL NARCOTRAFICO | DISCAPACIDAD | MUJERES Y DIVERSIDAD</t>
        </is>
      </c>
      <c r="I94" t="inlineStr">
        <is>
          <t>AFIRMATIVO</t>
        </is>
      </c>
      <c r="J94" s="17" t="inlineStr">
        <is>
          <t>AFIRMATIVO</t>
        </is>
      </c>
      <c r="L94" t="inlineStr">
        <is>
          <t>AFIRMATIVO</t>
        </is>
      </c>
      <c r="M94" s="9" t="inlineStr">
        <is>
          <t>AFIRMATIVO</t>
        </is>
      </c>
      <c r="N94" s="17" t="inlineStr">
        <is>
          <t>AFIRMATIVO</t>
        </is>
      </c>
      <c r="O94" t="inlineStr">
        <is>
          <t>AFIRMATIVO</t>
        </is>
      </c>
      <c r="Q94" t="inlineStr">
        <is>
          <t>AFIRMATIVO</t>
        </is>
      </c>
      <c r="S94" t="inlineStr">
        <is>
          <t>AFIRMATIVO</t>
        </is>
      </c>
      <c r="V94" s="17" t="inlineStr">
        <is>
          <t>AFIRMATIVO</t>
        </is>
      </c>
      <c r="W94" s="17" t="inlineStr">
        <is>
          <t>AFIRMATIVO</t>
        </is>
      </c>
    </row>
    <row r="95" ht="15.75" customHeight="1" thickBot="1">
      <c r="A95">
        <f>_xlfn.CONCAT(B95,,","," ",C95)</f>
        <v/>
      </c>
      <c r="B95" t="inlineStr">
        <is>
          <t>Giudici</t>
        </is>
      </c>
      <c r="C95" t="inlineStr">
        <is>
          <t>Silvana</t>
        </is>
      </c>
      <c r="D95" t="inlineStr">
        <is>
          <t>CIUDAD DE BUENOS AIRES</t>
        </is>
      </c>
      <c r="E95" s="1" t="n">
        <v>45270</v>
      </c>
      <c r="F95" s="1" t="n">
        <v>46730</v>
      </c>
      <c r="G95" t="inlineStr">
        <is>
          <t>LA LIBERTAD AVANZA</t>
        </is>
      </c>
      <c r="H95" s="12" t="inlineStr">
        <is>
          <t>RELACIONES EXTERIORES Y CULTO | PRESUPUESTO Y HACIENDA | CIENCIA, TECNOLOGIA E INNOVACION PRODUCTIVA | INDUSTRIA | COMUNICACIONES E INFORMATICA | PETICIONES, PODERES Y REGLAMENTO | LIBERTAD DE EXPRESION</t>
        </is>
      </c>
      <c r="I95" t="inlineStr">
        <is>
          <t>AFIRMATIVO</t>
        </is>
      </c>
      <c r="J95" s="17" t="inlineStr">
        <is>
          <t>AFIRMATIVO</t>
        </is>
      </c>
      <c r="L95" t="inlineStr">
        <is>
          <t>AFIRMATIVO</t>
        </is>
      </c>
      <c r="M95" s="9" t="inlineStr">
        <is>
          <t>AFIRMATIVO</t>
        </is>
      </c>
      <c r="N95" s="17" t="inlineStr">
        <is>
          <t>AFIRMATIVO</t>
        </is>
      </c>
      <c r="O95" t="inlineStr">
        <is>
          <t>AFIRMATIVO</t>
        </is>
      </c>
      <c r="Q95" t="inlineStr">
        <is>
          <t>AFIRMATIVO</t>
        </is>
      </c>
      <c r="S95" t="inlineStr">
        <is>
          <t>AFIRMATIVO</t>
        </is>
      </c>
      <c r="V95" s="17" t="inlineStr">
        <is>
          <t>AFIRMATIVO</t>
        </is>
      </c>
      <c r="W95" s="17" t="inlineStr">
        <is>
          <t>AFIRMATIVO</t>
        </is>
      </c>
    </row>
    <row r="96" ht="15.75" customHeight="1" thickBot="1">
      <c r="A96">
        <f>_xlfn.CONCAT(B96,,","," ",C96)</f>
        <v/>
      </c>
      <c r="B96" t="inlineStr">
        <is>
          <t>Giuliano</t>
        </is>
      </c>
      <c r="C96" t="inlineStr">
        <is>
          <t>Diego A.</t>
        </is>
      </c>
      <c r="D96" t="inlineStr">
        <is>
          <t>SANTA FE</t>
        </is>
      </c>
      <c r="E96" s="1" t="n">
        <v>45270</v>
      </c>
      <c r="F96" s="1" t="n">
        <v>46730</v>
      </c>
      <c r="G96" t="inlineStr">
        <is>
          <t>UNIÓN POR LA PATRIA</t>
        </is>
      </c>
      <c r="H96" s="12" t="inlineStr">
        <is>
          <t>ASUNTOS CONSTITUCIONALES | JUSTICIA | TRANSPORTES | ECONOMIAS Y DESARROLLO REGIONAL | LIBERTAD DE EXPRESION</t>
        </is>
      </c>
      <c r="I96" t="inlineStr">
        <is>
          <t>NEGATIVO</t>
        </is>
      </c>
      <c r="J96" s="17" t="inlineStr">
        <is>
          <t>NEGATIVO</t>
        </is>
      </c>
      <c r="L96" t="inlineStr">
        <is>
          <t>NEGATIVO</t>
        </is>
      </c>
      <c r="M96" s="9" t="inlineStr">
        <is>
          <t>NEGATIVO</t>
        </is>
      </c>
      <c r="N96" s="17" t="inlineStr">
        <is>
          <t>NEGATIVO</t>
        </is>
      </c>
      <c r="O96" t="inlineStr">
        <is>
          <t>AFIRMATIVO</t>
        </is>
      </c>
      <c r="Q96" t="inlineStr">
        <is>
          <t>NEGATIVO</t>
        </is>
      </c>
      <c r="S96" t="inlineStr">
        <is>
          <t>NEGATIVO</t>
        </is>
      </c>
      <c r="V96" s="17" t="inlineStr">
        <is>
          <t>NEGATIVO</t>
        </is>
      </c>
      <c r="W96" s="17" t="inlineStr">
        <is>
          <t>NEGATIVO</t>
        </is>
      </c>
    </row>
    <row r="97" ht="15.75" customHeight="1" thickBot="1">
      <c r="A97">
        <f>_xlfn.CONCAT(B97,,","," ",C97)</f>
        <v/>
      </c>
      <c r="B97" t="inlineStr">
        <is>
          <t>Glinski</t>
        </is>
      </c>
      <c r="C97" t="inlineStr">
        <is>
          <t>José</t>
        </is>
      </c>
      <c r="D97" t="inlineStr">
        <is>
          <t>CHUBUT</t>
        </is>
      </c>
      <c r="E97" s="1" t="n">
        <v>45270</v>
      </c>
      <c r="F97" s="1" t="n">
        <v>46730</v>
      </c>
      <c r="G97" t="inlineStr">
        <is>
          <t>UNIÓN POR LA PATRIA</t>
        </is>
      </c>
      <c r="H97" s="12" t="inlineStr">
        <is>
          <t>LEGISLACION PENAL | ENERGIA Y COMBUSTIBLES | INTERESES MARITIMOS, FLUVIALES, PESQUEROS Y PORTUARIOS | MINERIA | PREVENCION DE ADICCIONES Y CONTROL DEL NARCOTRAFICO | SEGURIDAD INTERIOR</t>
        </is>
      </c>
      <c r="I97" t="inlineStr">
        <is>
          <t>NEGATIVO</t>
        </is>
      </c>
      <c r="J97" s="17" t="inlineStr">
        <is>
          <t>NEGATIVO</t>
        </is>
      </c>
      <c r="L97" t="inlineStr">
        <is>
          <t>NEGATIVO</t>
        </is>
      </c>
      <c r="M97" s="9" t="inlineStr">
        <is>
          <t>NEGATIVO</t>
        </is>
      </c>
      <c r="N97" s="17" t="inlineStr">
        <is>
          <t>NEGATIVO</t>
        </is>
      </c>
      <c r="O97" t="inlineStr">
        <is>
          <t>AFIRMATIVO</t>
        </is>
      </c>
      <c r="Q97" t="inlineStr">
        <is>
          <t>NEGATIVO</t>
        </is>
      </c>
      <c r="S97" t="inlineStr">
        <is>
          <t>NEGATIVO</t>
        </is>
      </c>
      <c r="V97" s="17" t="inlineStr">
        <is>
          <t>NEGATIVO</t>
        </is>
      </c>
      <c r="W97" s="17" t="inlineStr">
        <is>
          <t>NEGATIVO</t>
        </is>
      </c>
    </row>
    <row r="98" ht="15.75" customHeight="1" thickBot="1">
      <c r="A98">
        <f>_xlfn.CONCAT(B98,,","," ",C98)</f>
        <v/>
      </c>
      <c r="B98" t="inlineStr">
        <is>
          <t>Goitia</t>
        </is>
      </c>
      <c r="C98" t="inlineStr">
        <is>
          <t>Rosario</t>
        </is>
      </c>
      <c r="D98" t="inlineStr">
        <is>
          <t>CHACO</t>
        </is>
      </c>
      <c r="E98" s="1" t="n">
        <v>46001</v>
      </c>
      <c r="F98" s="1" t="n">
        <v>47461</v>
      </c>
      <c r="G98" t="inlineStr">
        <is>
          <t>LA LIBERTAD AVANZA</t>
        </is>
      </c>
      <c r="H98" s="12" t="inlineStr">
        <is>
          <t>LEGISLACION DEL TRABAJO | COMERCIO | VIVIENDA Y ORDENAMIENTO URBANO | POBLACION Y DESARROLLO HUMANO | DEPORTES | ASUNTOS COOPERATIVOS, MUTUALES Y ORGANIZACIONES NO GUBERNAMENTALES | DEFENSA DEL CONSUMIDOR, DEL USUARIO Y DE LA COMPETENCIA</t>
        </is>
      </c>
      <c r="I98" t="inlineStr">
        <is>
          <t>AFIRMATIVO</t>
        </is>
      </c>
      <c r="J98" s="17" t="inlineStr">
        <is>
          <t>AFIRMATIVO</t>
        </is>
      </c>
      <c r="L98" t="inlineStr">
        <is>
          <t>AFIRMATIVO</t>
        </is>
      </c>
      <c r="M98" s="9" t="inlineStr">
        <is>
          <t>AFIRMATIVO</t>
        </is>
      </c>
      <c r="N98" s="17" t="inlineStr">
        <is>
          <t>AFIRMATIVO</t>
        </is>
      </c>
      <c r="O98" t="inlineStr">
        <is>
          <t>AFIRMATIVO</t>
        </is>
      </c>
      <c r="Q98" t="inlineStr">
        <is>
          <t>AFIRMATIVO</t>
        </is>
      </c>
      <c r="S98" t="inlineStr">
        <is>
          <t>AFIRMATIVO</t>
        </is>
      </c>
      <c r="V98" s="17" t="inlineStr">
        <is>
          <t>AFIRMATIVO</t>
        </is>
      </c>
      <c r="W98" s="17" t="inlineStr">
        <is>
          <t>AFIRMATIVO</t>
        </is>
      </c>
    </row>
    <row r="99" ht="15.75" customHeight="1" thickBot="1">
      <c r="A99">
        <f>_xlfn.CONCAT(B99,,","," ",C99)</f>
        <v/>
      </c>
      <c r="B99" t="inlineStr">
        <is>
          <t>Gomez</t>
        </is>
      </c>
      <c r="C99" t="inlineStr">
        <is>
          <t>José</t>
        </is>
      </c>
      <c r="D99" t="inlineStr">
        <is>
          <t>SANTIAGO DEL ESTERO</t>
        </is>
      </c>
      <c r="E99" s="1" t="n">
        <v>45270</v>
      </c>
      <c r="F99" s="1" t="n">
        <v>46730</v>
      </c>
      <c r="G99" t="inlineStr">
        <is>
          <t>UNIÓN POR LA PATRIA</t>
        </is>
      </c>
      <c r="H99" s="12" t="inlineStr">
        <is>
          <t>DE LAS PERSONAS MAYORES | LEGISLACION DEL TRABAJO | ECONOMIAS Y DESARROLLO REGIONAL | JUICIO POLITICO | TURISMO</t>
        </is>
      </c>
      <c r="I99" t="inlineStr">
        <is>
          <t>AUSENTE</t>
        </is>
      </c>
      <c r="J99" s="17" t="inlineStr">
        <is>
          <t>AUSENTE</t>
        </is>
      </c>
      <c r="L99" t="inlineStr">
        <is>
          <t>NEGATIVO</t>
        </is>
      </c>
      <c r="M99" s="9" t="inlineStr">
        <is>
          <t>NEGATIVO</t>
        </is>
      </c>
      <c r="N99" s="17" t="inlineStr">
        <is>
          <t>NEGATIVO</t>
        </is>
      </c>
      <c r="O99" t="inlineStr">
        <is>
          <t>AFIRMATIVO</t>
        </is>
      </c>
      <c r="Q99" t="inlineStr">
        <is>
          <t>NEGATIVO</t>
        </is>
      </c>
      <c r="S99" t="inlineStr">
        <is>
          <t>NEGATIVO</t>
        </is>
      </c>
      <c r="V99" s="17" t="inlineStr">
        <is>
          <t>AUSENTE</t>
        </is>
      </c>
      <c r="W99" s="17" t="inlineStr">
        <is>
          <t>AUSENTE</t>
        </is>
      </c>
    </row>
    <row r="100" ht="15.75" customHeight="1" thickBot="1">
      <c r="A100">
        <f>_xlfn.CONCAT(B100,,","," ",C100)</f>
        <v/>
      </c>
      <c r="B100" t="inlineStr">
        <is>
          <t>Gonzales</t>
        </is>
      </c>
      <c r="C100" t="inlineStr">
        <is>
          <t>Alfredo</t>
        </is>
      </c>
      <c r="D100" t="inlineStr">
        <is>
          <t>JUJUY</t>
        </is>
      </c>
      <c r="E100" s="1" t="n">
        <v>46001</v>
      </c>
      <c r="F100" s="1" t="n">
        <v>47461</v>
      </c>
      <c r="G100" t="inlineStr">
        <is>
          <t>LA LIBERTAD AVANZA</t>
        </is>
      </c>
      <c r="H100" s="12" t="inlineStr">
        <is>
          <t>PRESUPUESTO Y HACIENDA | INDUSTRIA | ENERGIA Y COMBUSTIBLES | MINERIA | MERCOSUR</t>
        </is>
      </c>
      <c r="I100" t="inlineStr">
        <is>
          <t>AFIRMATIVO</t>
        </is>
      </c>
      <c r="J100" s="17" t="inlineStr">
        <is>
          <t>AFIRMATIVO</t>
        </is>
      </c>
      <c r="L100" t="inlineStr">
        <is>
          <t>AFIRMATIVO</t>
        </is>
      </c>
      <c r="M100" s="9" t="inlineStr">
        <is>
          <t>AFIRMATIVO</t>
        </is>
      </c>
      <c r="N100" s="17" t="inlineStr">
        <is>
          <t>AFIRMATIVO</t>
        </is>
      </c>
      <c r="O100" t="inlineStr">
        <is>
          <t>AFIRMATIVO</t>
        </is>
      </c>
      <c r="Q100" t="inlineStr">
        <is>
          <t>AFIRMATIVO</t>
        </is>
      </c>
      <c r="S100" t="inlineStr">
        <is>
          <t>AFIRMATIVO</t>
        </is>
      </c>
      <c r="V100" s="17" t="inlineStr">
        <is>
          <t>AFIRMATIVO</t>
        </is>
      </c>
      <c r="W100" s="17" t="inlineStr">
        <is>
          <t>AFIRMATIVO</t>
        </is>
      </c>
    </row>
    <row r="101" ht="15.75" customHeight="1" thickBot="1">
      <c r="A101">
        <f>_xlfn.CONCAT(B101,,","," ",C101)</f>
        <v/>
      </c>
      <c r="B101" t="inlineStr">
        <is>
          <t>González Estevarena</t>
        </is>
      </c>
      <c r="C101" t="inlineStr">
        <is>
          <t>María Luisa</t>
        </is>
      </c>
      <c r="D101" t="inlineStr">
        <is>
          <t>BUENOS AIRES</t>
        </is>
      </c>
      <c r="E101" s="1" t="n">
        <v>46001</v>
      </c>
      <c r="F101" s="1" t="n">
        <v>47461</v>
      </c>
      <c r="G101" t="inlineStr">
        <is>
          <t>LA LIBERTAD AVANZA</t>
        </is>
      </c>
      <c r="H101" s="12" t="inlineStr">
        <is>
          <t>RELACIONES EXTERIORES Y CULTO | CULTURA | JUSTICIA | ACCION SOCIAL Y SALUD PUBLICA | ASUNTOS MUNICIPALES | VIVIENDA Y ORDENAMIENTO URBANO | TURISMO | MUJERES Y DIVERSIDAD</t>
        </is>
      </c>
      <c r="I101" t="inlineStr">
        <is>
          <t>AFIRMATIVO</t>
        </is>
      </c>
      <c r="J101" s="17" t="inlineStr">
        <is>
          <t>AFIRMATIVO</t>
        </is>
      </c>
      <c r="L101" t="inlineStr">
        <is>
          <t>AFIRMATIVO</t>
        </is>
      </c>
      <c r="M101" s="9" t="inlineStr">
        <is>
          <t>AFIRMATIVO</t>
        </is>
      </c>
      <c r="N101" s="17" t="inlineStr">
        <is>
          <t>AFIRMATIVO</t>
        </is>
      </c>
      <c r="O101" t="inlineStr">
        <is>
          <t>AFIRMATIVO</t>
        </is>
      </c>
      <c r="Q101" t="inlineStr">
        <is>
          <t>AFIRMATIVO</t>
        </is>
      </c>
      <c r="S101" t="inlineStr">
        <is>
          <t>AFIRMATIVO</t>
        </is>
      </c>
      <c r="V101" s="17" t="inlineStr">
        <is>
          <t>AFIRMATIVO</t>
        </is>
      </c>
      <c r="W101" s="17" t="inlineStr">
        <is>
          <t>AFIRMATIVO</t>
        </is>
      </c>
    </row>
    <row r="102" ht="15.75" customHeight="1" thickBot="1">
      <c r="A102">
        <f>_xlfn.CONCAT(B102,,","," ",C102)</f>
        <v/>
      </c>
      <c r="B102" t="inlineStr">
        <is>
          <t>González</t>
        </is>
      </c>
      <c r="C102" t="inlineStr">
        <is>
          <t>Álvaro</t>
        </is>
      </c>
      <c r="D102" t="inlineStr">
        <is>
          <t>CIUDAD DE BUENOS AIRES</t>
        </is>
      </c>
      <c r="E102" s="1" t="n">
        <v>45270</v>
      </c>
      <c r="F102" s="1" t="n">
        <v>46730</v>
      </c>
      <c r="G102" t="inlineStr">
        <is>
          <t>PRO</t>
        </is>
      </c>
      <c r="H102" s="12" t="inlineStr">
        <is>
          <t>JUSTICIA | OBRAS PUBLICAS | ENERGIA Y COMBUSTIBLES | INTERESES MARITIMOS, FLUVIALES, PESQUEROS Y PORTUARIOS | MINERIA</t>
        </is>
      </c>
      <c r="I102" t="inlineStr">
        <is>
          <t>AFIRMATIVO</t>
        </is>
      </c>
      <c r="J102" s="17" t="inlineStr">
        <is>
          <t>AUSENTE</t>
        </is>
      </c>
      <c r="L102" t="inlineStr">
        <is>
          <t>AFIRMATIVO</t>
        </is>
      </c>
      <c r="M102" s="9" t="inlineStr">
        <is>
          <t>AFIRMATIVO</t>
        </is>
      </c>
      <c r="N102" s="17" t="inlineStr">
        <is>
          <t>AFIRMATIVO</t>
        </is>
      </c>
      <c r="O102" t="inlineStr">
        <is>
          <t>AFIRMATIVO</t>
        </is>
      </c>
      <c r="Q102" t="inlineStr">
        <is>
          <t>AFIRMATIVO</t>
        </is>
      </c>
      <c r="S102" t="inlineStr">
        <is>
          <t>AFIRMATIVO</t>
        </is>
      </c>
      <c r="V102" s="17" t="inlineStr">
        <is>
          <t>AFIRMATIVO</t>
        </is>
      </c>
      <c r="W102" s="17" t="inlineStr">
        <is>
          <t>AFIRMATIVO</t>
        </is>
      </c>
    </row>
    <row r="103" ht="15.75" customHeight="1" thickBot="1">
      <c r="A103">
        <f>_xlfn.CONCAT(B103,,","," ",C103)</f>
        <v/>
      </c>
      <c r="B103" t="inlineStr">
        <is>
          <t>González</t>
        </is>
      </c>
      <c r="C103" t="inlineStr">
        <is>
          <t>Diógenes Ignacio</t>
        </is>
      </c>
      <c r="D103" t="inlineStr">
        <is>
          <t>CORRIENTES</t>
        </is>
      </c>
      <c r="E103" s="1" t="n">
        <v>46001</v>
      </c>
      <c r="F103" s="1" t="n">
        <v>47461</v>
      </c>
      <c r="G103" t="inlineStr">
        <is>
          <t>UCR - UNIÓN CÍVICA RADICAL</t>
        </is>
      </c>
      <c r="H103" s="12" t="inlineStr">
        <is>
          <t>ASUNTOS CONSTITUCIONALES | LEGISLACION GENERAL | EDUCACION | JUSTICIA | PREVISION Y SEGURIDAD SOCIAL | DEFENSA NACIONAL | DERECHOS HUMANOS Y GARANTIAS | PEQUEÑAS Y MEDIANAS EMPRESAS</t>
        </is>
      </c>
      <c r="I103" t="inlineStr">
        <is>
          <t>AFIRMATIVO</t>
        </is>
      </c>
      <c r="J103" s="17" t="inlineStr">
        <is>
          <t>AFIRMATIVO</t>
        </is>
      </c>
      <c r="L103" t="inlineStr">
        <is>
          <t>AFIRMATIVO</t>
        </is>
      </c>
      <c r="M103" s="9" t="inlineStr">
        <is>
          <t>AFIRMATIVO</t>
        </is>
      </c>
      <c r="N103" s="17" t="inlineStr">
        <is>
          <t>AFIRMATIVO</t>
        </is>
      </c>
      <c r="O103" t="inlineStr">
        <is>
          <t>AFIRMATIVO</t>
        </is>
      </c>
      <c r="Q103" t="inlineStr">
        <is>
          <t>AFIRMATIVO</t>
        </is>
      </c>
      <c r="S103" t="inlineStr">
        <is>
          <t>AFIRMATIVO</t>
        </is>
      </c>
      <c r="V103" s="17" t="inlineStr">
        <is>
          <t>AFIRMATIVO</t>
        </is>
      </c>
      <c r="W103" s="17" t="inlineStr">
        <is>
          <t>AFIRMATIVO</t>
        </is>
      </c>
    </row>
    <row r="104" ht="15.75" customHeight="1" thickBot="1">
      <c r="A104">
        <f>_xlfn.CONCAT(B104,,","," ",C104)</f>
        <v/>
      </c>
      <c r="B104" t="inlineStr">
        <is>
          <t>González</t>
        </is>
      </c>
      <c r="C104" t="inlineStr">
        <is>
          <t>Gerardo Gustavo</t>
        </is>
      </c>
      <c r="D104" t="inlineStr">
        <is>
          <t>FORMOSA</t>
        </is>
      </c>
      <c r="E104" s="1" t="n">
        <v>45270</v>
      </c>
      <c r="F104" s="1" t="n">
        <v>46730</v>
      </c>
      <c r="G104" t="inlineStr">
        <is>
          <t>INNOVACIÓN FEDERAL</t>
        </is>
      </c>
      <c r="H104" s="12" t="inlineStr">
        <is>
          <t>CIENCIA, TECNOLOGIA E INNOVACION PRODUCTIVA | INDUSTRIA | COMUNICACIONES E INFORMATICA | ASUNTOS COOPERATIVOS, MUTUALES Y ORGANIZACIONES NO GUBERNAMENTALES | PEQUEÑAS Y MEDIANAS EMPRESAS | LIBERTAD DE EXPRESION</t>
        </is>
      </c>
      <c r="I104" t="inlineStr">
        <is>
          <t>AUSENTE</t>
        </is>
      </c>
      <c r="J104" s="17" t="inlineStr">
        <is>
          <t>AUSENTE</t>
        </is>
      </c>
      <c r="L104" t="inlineStr">
        <is>
          <t>AFIRMATIVO</t>
        </is>
      </c>
      <c r="M104" s="9" t="inlineStr">
        <is>
          <t>AUSENTE</t>
        </is>
      </c>
      <c r="N104" s="17" t="inlineStr">
        <is>
          <t>AFIRMATIVO</t>
        </is>
      </c>
      <c r="O104" t="inlineStr">
        <is>
          <t>AFIRMATIVO</t>
        </is>
      </c>
      <c r="Q104" t="inlineStr">
        <is>
          <t>AFIRMATIVO</t>
        </is>
      </c>
      <c r="S104" t="inlineStr">
        <is>
          <t>AFIRMATIVO</t>
        </is>
      </c>
      <c r="V104" s="17" t="inlineStr">
        <is>
          <t>AFIRMATIVO</t>
        </is>
      </c>
      <c r="W104" s="17" t="inlineStr">
        <is>
          <t>AFIRMATIVO</t>
        </is>
      </c>
    </row>
    <row r="105" ht="15.75" customHeight="1" thickBot="1">
      <c r="A105">
        <f>_xlfn.CONCAT(B105,,","," ",C105)</f>
        <v/>
      </c>
      <c r="B105" t="inlineStr">
        <is>
          <t>Grabois</t>
        </is>
      </c>
      <c r="C105" t="inlineStr">
        <is>
          <t>Juan</t>
        </is>
      </c>
      <c r="D105" t="inlineStr">
        <is>
          <t>BUENOS AIRES</t>
        </is>
      </c>
      <c r="E105" s="1" t="n">
        <v>46001</v>
      </c>
      <c r="F105" s="1" t="n">
        <v>47461</v>
      </c>
      <c r="G105" t="inlineStr">
        <is>
          <t>UNIÓN POR LA PATRIA</t>
        </is>
      </c>
      <c r="H105" s="12" t="inlineStr">
        <is>
          <t>ASUNTOS CONSTITUCIONALES | RELACIONES EXTERIORES Y CULTO | JUSTICIA | COMUNICACIONES E INFORMATICA | JUICIO POLITICO | SEGURIDAD INTERIOR</t>
        </is>
      </c>
      <c r="I105" t="inlineStr">
        <is>
          <t>NEGATIVO</t>
        </is>
      </c>
      <c r="J105" s="17" t="inlineStr">
        <is>
          <t>NEGATIVO</t>
        </is>
      </c>
      <c r="L105" t="inlineStr">
        <is>
          <t>NEGATIVO</t>
        </is>
      </c>
      <c r="M105" s="9" t="inlineStr">
        <is>
          <t>NEGATIVO</t>
        </is>
      </c>
      <c r="N105" s="17" t="inlineStr">
        <is>
          <t>NEGATIVO</t>
        </is>
      </c>
      <c r="O105" t="inlineStr">
        <is>
          <t>NEGATIVO</t>
        </is>
      </c>
      <c r="Q105" t="inlineStr">
        <is>
          <t>NEGATIVO</t>
        </is>
      </c>
      <c r="S105" t="inlineStr">
        <is>
          <t>NEGATIVO</t>
        </is>
      </c>
      <c r="V105" s="17" t="inlineStr">
        <is>
          <t>NEGATIVO</t>
        </is>
      </c>
      <c r="W105" s="17" t="inlineStr">
        <is>
          <t>NEGATIVO</t>
        </is>
      </c>
    </row>
    <row r="106" ht="15.75" customHeight="1" thickBot="1">
      <c r="A106">
        <f>_xlfn.CONCAT(B106,,","," ",C106)</f>
        <v/>
      </c>
      <c r="B106" t="inlineStr">
        <is>
          <t>Gruber</t>
        </is>
      </c>
      <c r="C106" t="inlineStr">
        <is>
          <t>Maura</t>
        </is>
      </c>
      <c r="D106" t="inlineStr">
        <is>
          <t>MISIONES</t>
        </is>
      </c>
      <c r="E106" s="1" t="n">
        <v>46001</v>
      </c>
      <c r="F106" s="1" t="n">
        <v>47461</v>
      </c>
      <c r="G106" t="inlineStr">
        <is>
          <t>LA LIBERTAD AVANZA</t>
        </is>
      </c>
      <c r="H106" s="12" t="inlineStr">
        <is>
          <t>INDUSTRIA | COMERCIO | ECONOMIAS Y DESARROLLO REGIONAL | ASUNTOS COOPERATIVOS, MUTUALES Y ORGANIZACIONES NO GUBERNAMENTALES | MERCOSUR</t>
        </is>
      </c>
      <c r="I106" t="inlineStr">
        <is>
          <t>AFIRMATIVO</t>
        </is>
      </c>
      <c r="J106" s="17" t="inlineStr">
        <is>
          <t>AFIRMATIVO</t>
        </is>
      </c>
      <c r="L106" t="inlineStr">
        <is>
          <t>AFIRMATIVO</t>
        </is>
      </c>
      <c r="M106" s="9" t="inlineStr">
        <is>
          <t>AFIRMATIVO</t>
        </is>
      </c>
      <c r="N106" s="17" t="inlineStr">
        <is>
          <t>AFIRMATIVO</t>
        </is>
      </c>
      <c r="O106" t="inlineStr">
        <is>
          <t>AFIRMATIVO</t>
        </is>
      </c>
      <c r="Q106" t="inlineStr">
        <is>
          <t>AFIRMATIVO</t>
        </is>
      </c>
      <c r="S106" t="inlineStr">
        <is>
          <t>AFIRMATIVO</t>
        </is>
      </c>
      <c r="V106" s="17" t="inlineStr">
        <is>
          <t>AFIRMATIVO</t>
        </is>
      </c>
      <c r="W106" s="17" t="inlineStr">
        <is>
          <t>AFIRMATIVO</t>
        </is>
      </c>
    </row>
    <row r="107" ht="15.75" customHeight="1" thickBot="1">
      <c r="A107">
        <f>_xlfn.CONCAT(B107,,","," ",C107)</f>
        <v/>
      </c>
      <c r="B107" t="inlineStr">
        <is>
          <t>Gutiérrez</t>
        </is>
      </c>
      <c r="C107" t="inlineStr">
        <is>
          <t>Carlos</t>
        </is>
      </c>
      <c r="D107" t="inlineStr">
        <is>
          <t>CORDOBA</t>
        </is>
      </c>
      <c r="E107" s="1" t="n">
        <v>45270</v>
      </c>
      <c r="F107" s="1" t="n">
        <v>46730</v>
      </c>
      <c r="G107" t="inlineStr">
        <is>
          <t>PROVINCIAS UNIDAS</t>
        </is>
      </c>
      <c r="H107" s="12" t="inlineStr">
        <is>
          <t>AGRICULTURA Y GANADERIA | ASUNTOS COOPERATIVOS, MUTUALES Y ORGANIZACIONES NO GUBERNAMENTALES | SEGURIDAD INTERIOR</t>
        </is>
      </c>
      <c r="I107" t="inlineStr">
        <is>
          <t>ABSTENCIÓN</t>
        </is>
      </c>
      <c r="J107" s="17" t="inlineStr">
        <is>
          <t>NEGATIVO</t>
        </is>
      </c>
      <c r="L107" t="inlineStr">
        <is>
          <t>AFIRMATIVO</t>
        </is>
      </c>
      <c r="M107" s="9" t="inlineStr">
        <is>
          <t>NEGATIVO</t>
        </is>
      </c>
      <c r="N107" s="17" t="inlineStr">
        <is>
          <t>AFIRMATIVO</t>
        </is>
      </c>
      <c r="O107" t="inlineStr">
        <is>
          <t>AFIRMATIVO</t>
        </is>
      </c>
      <c r="Q107" t="inlineStr">
        <is>
          <t>ABSTENCION</t>
        </is>
      </c>
      <c r="S107" t="inlineStr">
        <is>
          <t>NEGATIVO</t>
        </is>
      </c>
      <c r="V107" s="17" t="inlineStr">
        <is>
          <t>NEGATIVO</t>
        </is>
      </c>
      <c r="W107" s="17" t="inlineStr">
        <is>
          <t>AFIRMATIVO</t>
        </is>
      </c>
    </row>
    <row r="108" ht="15.75" customHeight="1" thickBot="1">
      <c r="A108">
        <f>_xlfn.CONCAT(B108,,","," ",C108)</f>
        <v/>
      </c>
      <c r="B108" t="inlineStr">
        <is>
          <t>Gutiérrez</t>
        </is>
      </c>
      <c r="C108" t="inlineStr">
        <is>
          <t>Ramiro</t>
        </is>
      </c>
      <c r="D108" t="inlineStr">
        <is>
          <t>BUENOS AIRES</t>
        </is>
      </c>
      <c r="E108" s="1" t="n">
        <v>45270</v>
      </c>
      <c r="F108" s="1" t="n">
        <v>46730</v>
      </c>
      <c r="G108" t="inlineStr">
        <is>
          <t>UNIÓN POR LA PATRIA</t>
        </is>
      </c>
      <c r="H108" s="12" t="inlineStr">
        <is>
          <t>LEGISLACION PENAL | DEFENSA NACIONAL | JUICIO POLITICO | PREVENCION DE ADICCIONES Y CONTROL DEL NARCOTRAFICO | SEGURIDAD INTERIOR</t>
        </is>
      </c>
      <c r="I108" t="inlineStr">
        <is>
          <t>NEGATIVO</t>
        </is>
      </c>
      <c r="J108" s="17" t="inlineStr">
        <is>
          <t>NEGATIVO</t>
        </is>
      </c>
      <c r="L108" t="inlineStr">
        <is>
          <t>NEGATIVO</t>
        </is>
      </c>
      <c r="M108" s="9" t="inlineStr">
        <is>
          <t>NEGATIVO</t>
        </is>
      </c>
      <c r="N108" s="17" t="inlineStr">
        <is>
          <t>NEGATIVO</t>
        </is>
      </c>
      <c r="O108" t="inlineStr">
        <is>
          <t>AFIRMATIVO</t>
        </is>
      </c>
      <c r="Q108" t="inlineStr">
        <is>
          <t>AUSENTE</t>
        </is>
      </c>
      <c r="S108" t="inlineStr">
        <is>
          <t>AUSENTE</t>
        </is>
      </c>
      <c r="V108" s="17" t="inlineStr">
        <is>
          <t>NEGATIVO</t>
        </is>
      </c>
      <c r="W108" s="17" t="inlineStr">
        <is>
          <t>NEGATIVO</t>
        </is>
      </c>
    </row>
    <row r="109" ht="15.75" customHeight="1" thickBot="1">
      <c r="A109">
        <f>_xlfn.CONCAT(B109,,","," ",C109)</f>
        <v/>
      </c>
      <c r="B109" t="inlineStr">
        <is>
          <t>Guzmán</t>
        </is>
      </c>
      <c r="C109" t="inlineStr">
        <is>
          <t>Jairo</t>
        </is>
      </c>
      <c r="D109" t="inlineStr">
        <is>
          <t>SANTA CRUZ</t>
        </is>
      </c>
      <c r="E109" s="1" t="n">
        <v>46001</v>
      </c>
      <c r="F109" s="1" t="n">
        <v>47461</v>
      </c>
      <c r="G109" t="inlineStr">
        <is>
          <t>LA LIBERTAD AVANZA</t>
        </is>
      </c>
      <c r="H109" s="12" t="inlineStr">
        <is>
          <t>RELACIONES EXTERIORES Y CULTO | DE LAS PERSONAS MAYORES | FINANZAS | INTERESES MARITIMOS, FLUVIALES, PESQUEROS Y PORTUARIOS | TURISMO | PEQUEÑAS Y MEDIANAS EMPRESAS</t>
        </is>
      </c>
      <c r="I109" t="inlineStr">
        <is>
          <t>AFIRMATIVO</t>
        </is>
      </c>
      <c r="J109" s="17" t="inlineStr">
        <is>
          <t>AFIRMATIVO</t>
        </is>
      </c>
      <c r="L109" t="inlineStr">
        <is>
          <t>AFIRMATIVO</t>
        </is>
      </c>
      <c r="M109" s="9" t="inlineStr">
        <is>
          <t>AFIRMATIVO</t>
        </is>
      </c>
      <c r="N109" s="17" t="inlineStr">
        <is>
          <t>AFIRMATIVO</t>
        </is>
      </c>
      <c r="O109" t="inlineStr">
        <is>
          <t>AFIRMATIVO</t>
        </is>
      </c>
      <c r="Q109" t="inlineStr">
        <is>
          <t>AFIRMATIVO</t>
        </is>
      </c>
      <c r="S109" t="inlineStr">
        <is>
          <t>AFIRMATIVO</t>
        </is>
      </c>
      <c r="V109" s="17" t="inlineStr">
        <is>
          <t>AFIRMATIVO</t>
        </is>
      </c>
      <c r="W109" s="17" t="inlineStr">
        <is>
          <t>AFIRMATIVO</t>
        </is>
      </c>
    </row>
    <row r="110" ht="15.75" customHeight="1" thickBot="1">
      <c r="A110">
        <f>_xlfn.CONCAT(B110,,","," ",C110)</f>
        <v/>
      </c>
      <c r="B110" t="inlineStr">
        <is>
          <t>Hadad</t>
        </is>
      </c>
      <c r="C110" t="inlineStr">
        <is>
          <t>Raúl</t>
        </is>
      </c>
      <c r="D110" t="inlineStr">
        <is>
          <t>CORRIENTES</t>
        </is>
      </c>
      <c r="E110" s="1" t="n">
        <v>46001</v>
      </c>
      <c r="F110" s="1" t="n">
        <v>47461</v>
      </c>
      <c r="G110" t="inlineStr">
        <is>
          <t>UNIÓN POR LA PATRIA</t>
        </is>
      </c>
      <c r="H110" s="12" t="inlineStr">
        <is>
          <t>LEGISLACION GENERAL | RELACIONES EXTERIORES Y CULTO | JUSTICIA | AGRICULTURA Y GANADERIA | COMERCIO | ASUNTOS MUNICIPALES | ASUNTOS COOPERATIVOS, MUTUALES Y ORGANIZACIONES NO GUBERNAMENTALES | PEQUEÑAS Y MEDIANAS EMPRESAS | LIBERTAD DE EXPRESION</t>
        </is>
      </c>
      <c r="I110" t="inlineStr">
        <is>
          <t>NEGATIVO</t>
        </is>
      </c>
      <c r="J110" s="17" t="inlineStr">
        <is>
          <t>NEGATIVO</t>
        </is>
      </c>
      <c r="L110" t="inlineStr">
        <is>
          <t>NEGATIVO</t>
        </is>
      </c>
      <c r="M110" s="9" t="inlineStr">
        <is>
          <t>NEGATIVO</t>
        </is>
      </c>
      <c r="N110" s="17" t="inlineStr">
        <is>
          <t>NEGATIVO</t>
        </is>
      </c>
      <c r="O110" t="inlineStr">
        <is>
          <t>ABSTENCIÓN</t>
        </is>
      </c>
      <c r="Q110" t="inlineStr">
        <is>
          <t>NEGATIVO</t>
        </is>
      </c>
      <c r="S110" t="inlineStr">
        <is>
          <t>NEGATIVO</t>
        </is>
      </c>
      <c r="V110" s="17" t="inlineStr">
        <is>
          <t>NEGATIVO</t>
        </is>
      </c>
      <c r="W110" s="17" t="inlineStr">
        <is>
          <t>NEGATIVO</t>
        </is>
      </c>
    </row>
    <row r="111" ht="15.75" customHeight="1" thickBot="1">
      <c r="A111">
        <f>_xlfn.CONCAT(B111,,","," ",C111)</f>
        <v/>
      </c>
      <c r="B111" t="inlineStr">
        <is>
          <t>Hagman</t>
        </is>
      </c>
      <c r="C111" t="inlineStr">
        <is>
          <t>Itai</t>
        </is>
      </c>
      <c r="D111" t="inlineStr">
        <is>
          <t>CIUDAD DE BUENOS AIRES</t>
        </is>
      </c>
      <c r="E111" s="1" t="n">
        <v>46001</v>
      </c>
      <c r="F111" s="1" t="n">
        <v>47461</v>
      </c>
      <c r="G111" t="inlineStr">
        <is>
          <t>UNIÓN POR LA PATRIA</t>
        </is>
      </c>
      <c r="H111" s="12" t="inlineStr">
        <is>
          <t>PRESUPUESTO Y HACIENDA | PREVISION Y SEGURIDAD SOCIAL | FINANZAS | VIVIENDA Y ORDENAMIENTO URBANO | ECONOMIA | ANALISIS Y SEGUIMIENTO DEL CUMPLIMIENTO DE NORMAS TRIBUTARIAS Y PREVISIONALES</t>
        </is>
      </c>
      <c r="I111" t="inlineStr">
        <is>
          <t>NEGATIVO</t>
        </is>
      </c>
      <c r="J111" s="17" t="inlineStr">
        <is>
          <t>NEGATIVO</t>
        </is>
      </c>
      <c r="L111" t="inlineStr">
        <is>
          <t>NEGATIVO</t>
        </is>
      </c>
      <c r="M111" s="9" t="inlineStr">
        <is>
          <t>NEGATIVO</t>
        </is>
      </c>
      <c r="N111" s="17" t="inlineStr">
        <is>
          <t>NEGATIVO</t>
        </is>
      </c>
      <c r="O111" t="inlineStr">
        <is>
          <t>NEGATIVO</t>
        </is>
      </c>
      <c r="Q111" t="inlineStr">
        <is>
          <t>NEGATIVO</t>
        </is>
      </c>
      <c r="S111" t="inlineStr">
        <is>
          <t>NEGATIVO</t>
        </is>
      </c>
      <c r="V111" s="17" t="inlineStr">
        <is>
          <t>NEGATIVO</t>
        </is>
      </c>
      <c r="W111" s="17" t="inlineStr">
        <is>
          <t>NEGATIVO</t>
        </is>
      </c>
    </row>
    <row r="112" ht="15.75" customHeight="1" thickBot="1">
      <c r="A112">
        <f>_xlfn.CONCAT(B112,,","," ",C112)</f>
        <v/>
      </c>
      <c r="B112" t="inlineStr">
        <is>
          <t>Hartfield</t>
        </is>
      </c>
      <c r="C112" t="inlineStr">
        <is>
          <t>Diego</t>
        </is>
      </c>
      <c r="D112" t="inlineStr">
        <is>
          <t>MISIONES</t>
        </is>
      </c>
      <c r="E112" s="1" t="n">
        <v>46001</v>
      </c>
      <c r="F112" s="1" t="n">
        <v>47461</v>
      </c>
      <c r="G112" t="inlineStr">
        <is>
          <t>LA LIBERTAD AVANZA</t>
        </is>
      </c>
      <c r="H112" s="12" t="inlineStr">
        <is>
          <t>PRESUPUESTO Y HACIENDA | FINANZAS | INDUSTRIA | ECONOMIA | ANALISIS Y SEGUIMIENTO DEL CUMPLIMIENTO DE NORMAS TRIBUTARIAS Y PREVISIONALES | DEPORTES</t>
        </is>
      </c>
      <c r="I112" t="inlineStr">
        <is>
          <t>AFIRMATIVO</t>
        </is>
      </c>
      <c r="J112" s="17" t="inlineStr">
        <is>
          <t>AFIRMATIVO</t>
        </is>
      </c>
      <c r="L112" t="inlineStr">
        <is>
          <t>AFIRMATIVO</t>
        </is>
      </c>
      <c r="M112" s="9" t="inlineStr">
        <is>
          <t>AFIRMATIVO</t>
        </is>
      </c>
      <c r="N112" s="17" t="inlineStr">
        <is>
          <t>AFIRMATIVO</t>
        </is>
      </c>
      <c r="O112" t="inlineStr">
        <is>
          <t>AFIRMATIVO</t>
        </is>
      </c>
      <c r="Q112" t="inlineStr">
        <is>
          <t>AFIRMATIVO</t>
        </is>
      </c>
      <c r="S112" t="inlineStr">
        <is>
          <t>AFIRMATIVO</t>
        </is>
      </c>
      <c r="V112" s="17" t="inlineStr">
        <is>
          <t>AFIRMATIVO</t>
        </is>
      </c>
      <c r="W112" s="17" t="inlineStr">
        <is>
          <t>AFIRMATIVO</t>
        </is>
      </c>
    </row>
    <row r="113" ht="15.75" customHeight="1" thickBot="1">
      <c r="A113">
        <f>_xlfn.CONCAT(B113,,","," ",C113)</f>
        <v/>
      </c>
      <c r="B113" t="inlineStr">
        <is>
          <t>Herrera</t>
        </is>
      </c>
      <c r="C113" t="inlineStr">
        <is>
          <t>Oscar</t>
        </is>
      </c>
      <c r="D113" t="inlineStr">
        <is>
          <t>MISIONES</t>
        </is>
      </c>
      <c r="E113" s="1" t="n">
        <v>46001</v>
      </c>
      <c r="F113" s="1" t="n">
        <v>47461</v>
      </c>
      <c r="G113" t="inlineStr">
        <is>
          <t>INNOVACIÓN FEDERAL</t>
        </is>
      </c>
      <c r="H113" s="12" t="inlineStr">
        <is>
          <t>PRESUPUESTO Y HACIENDA | JUSTICIA | DEFENSA NACIONAL | AGRICULTURA Y GANADERIA | ECONOMIA</t>
        </is>
      </c>
      <c r="I113" t="inlineStr">
        <is>
          <t>AFIRMATIVO</t>
        </is>
      </c>
      <c r="J113" s="17" t="inlineStr">
        <is>
          <t>AFIRMATIVO</t>
        </is>
      </c>
      <c r="L113" t="inlineStr">
        <is>
          <t>AFIRMATIVO</t>
        </is>
      </c>
      <c r="M113" s="9" t="inlineStr">
        <is>
          <t>AFIRMATIVO</t>
        </is>
      </c>
      <c r="N113" s="17" t="inlineStr">
        <is>
          <t>AFIRMATIVO</t>
        </is>
      </c>
      <c r="O113" t="inlineStr">
        <is>
          <t>AFIRMATIVO</t>
        </is>
      </c>
      <c r="Q113" t="inlineStr">
        <is>
          <t>AFIRMATIVO</t>
        </is>
      </c>
      <c r="S113" t="inlineStr">
        <is>
          <t>AFIRMATIVO</t>
        </is>
      </c>
      <c r="V113" s="17" t="inlineStr">
        <is>
          <t>AFIRMATIVO</t>
        </is>
      </c>
      <c r="W113" s="17" t="inlineStr">
        <is>
          <t>AFIRMATIVO</t>
        </is>
      </c>
    </row>
    <row r="114" ht="15.75" customHeight="1" thickBot="1">
      <c r="A114">
        <f>_xlfn.CONCAT(B114,,","," ",C114)</f>
        <v/>
      </c>
      <c r="B114" t="inlineStr">
        <is>
          <t>Holzman</t>
        </is>
      </c>
      <c r="C114" t="inlineStr">
        <is>
          <t>Patricia</t>
        </is>
      </c>
      <c r="D114" t="inlineStr">
        <is>
          <t>CIUDAD DE BUENOS AIRES</t>
        </is>
      </c>
      <c r="E114" s="1" t="n">
        <v>46001</v>
      </c>
      <c r="F114" s="1" t="n">
        <v>47461</v>
      </c>
      <c r="G114" t="inlineStr">
        <is>
          <t>LA LIBERTAD AVANZA</t>
        </is>
      </c>
      <c r="H114" s="12" t="inlineStr">
        <is>
          <t>RELACIONES EXTERIORES Y CULTO | EDUCACION | CULTURA | RECURSOS NATURALES Y CONSERVACION DEL AMBIENTE HUMANO | ASUNTOS COOPERATIVOS, MUTUALES Y ORGANIZACIONES NO GUBERNAMENTALES | DISCAPACIDAD | MUJERES Y DIVERSIDAD</t>
        </is>
      </c>
      <c r="I114" t="inlineStr">
        <is>
          <t>AFIRMATIVO</t>
        </is>
      </c>
      <c r="J114" s="17" t="inlineStr">
        <is>
          <t>AFIRMATIVO</t>
        </is>
      </c>
      <c r="L114" t="inlineStr">
        <is>
          <t>AFIRMATIVO</t>
        </is>
      </c>
      <c r="M114" s="9" t="inlineStr">
        <is>
          <t>AFIRMATIVO</t>
        </is>
      </c>
      <c r="N114" s="17" t="inlineStr">
        <is>
          <t>AFIRMATIVO</t>
        </is>
      </c>
      <c r="O114" t="inlineStr">
        <is>
          <t>AFIRMATIVO</t>
        </is>
      </c>
      <c r="Q114" t="inlineStr">
        <is>
          <t>AFIRMATIVO</t>
        </is>
      </c>
      <c r="S114" t="inlineStr">
        <is>
          <t>AFIRMATIVO</t>
        </is>
      </c>
      <c r="V114" s="17" t="inlineStr">
        <is>
          <t>AFIRMATIVO</t>
        </is>
      </c>
      <c r="W114" s="17" t="inlineStr">
        <is>
          <t>AFIRMATIVO</t>
        </is>
      </c>
    </row>
    <row r="115" ht="15.75" customHeight="1" thickBot="1">
      <c r="A115">
        <f>_xlfn.CONCAT(B115,,","," ",C115)</f>
        <v/>
      </c>
      <c r="B115" t="inlineStr">
        <is>
          <t>Huesen</t>
        </is>
      </c>
      <c r="C115" t="inlineStr">
        <is>
          <t>Gerardo</t>
        </is>
      </c>
      <c r="D115" t="inlineStr">
        <is>
          <t>TUCUMAN</t>
        </is>
      </c>
      <c r="E115" s="1" t="n">
        <v>45270</v>
      </c>
      <c r="F115" s="1" t="n">
        <v>46730</v>
      </c>
      <c r="G115" t="inlineStr">
        <is>
          <t>LA LIBERTAD AVANZA</t>
        </is>
      </c>
      <c r="H115" s="10" t="inlineStr">
        <is>
          <t>LEGISLACION GENERAL | PRESUPUESTO Y HACIENDA | ACCION SOCIAL Y SALUD PUBLICA | FAMILIAS, NIÑEZ Y JUVENTUDES | ASUNTOS MUNICIPALES | VIVIENDA Y ORDENAMIENTO URBANO | PETICIONES, PODERES Y REGLAMENTO | JUICIO POLITICO | ECONOMIA | ASUNTOS COOPERATIVOS, MUTUALES Y ORGANIZACIONES NO GUBERNAMENTALES | MERCOSUR | DISCAPACIDAD</t>
        </is>
      </c>
      <c r="I115" t="inlineStr">
        <is>
          <t>AFIRMATIVO</t>
        </is>
      </c>
      <c r="J115" s="17" t="inlineStr">
        <is>
          <t>AFIRMATIVO</t>
        </is>
      </c>
      <c r="L115" t="inlineStr">
        <is>
          <t>AFIRMATIVO</t>
        </is>
      </c>
      <c r="M115" s="9" t="inlineStr">
        <is>
          <t>AFIRMATIVO</t>
        </is>
      </c>
      <c r="N115" s="17" t="inlineStr">
        <is>
          <t>AFIRMATIVO</t>
        </is>
      </c>
      <c r="O115" t="inlineStr">
        <is>
          <t>AFIRMATIVO</t>
        </is>
      </c>
      <c r="Q115" t="inlineStr">
        <is>
          <t>AFIRMATIVO</t>
        </is>
      </c>
      <c r="S115" t="inlineStr">
        <is>
          <t>AFIRMATIVO</t>
        </is>
      </c>
      <c r="V115" s="17" t="inlineStr">
        <is>
          <t>AFIRMATIVO</t>
        </is>
      </c>
      <c r="W115" s="17" t="inlineStr">
        <is>
          <t>AFIRMATIVO</t>
        </is>
      </c>
    </row>
    <row r="116" ht="15.75" customHeight="1" thickBot="1">
      <c r="A116">
        <f>_xlfn.CONCAT(B116,,","," ",C116)</f>
        <v/>
      </c>
      <c r="B116" t="inlineStr">
        <is>
          <t>Humenuk</t>
        </is>
      </c>
      <c r="C116" t="inlineStr">
        <is>
          <t>Gladys</t>
        </is>
      </c>
      <c r="D116" t="inlineStr">
        <is>
          <t>BUENOS AIRES</t>
        </is>
      </c>
      <c r="E116" s="1" t="n">
        <v>46001</v>
      </c>
      <c r="F116" s="1" t="n">
        <v>47461</v>
      </c>
      <c r="G116" t="inlineStr">
        <is>
          <t>LA LIBERTAD AVANZA</t>
        </is>
      </c>
      <c r="H116" s="12" t="inlineStr">
        <is>
          <t>EDUCACION | PREVISION Y SEGURIDAD SOCIAL | LEGISLACION DEL TRABAJO | FINANZAS | ASUNTOS MUNICIPALES | VIVIENDA Y ORDENAMIENTO URBANO | DISCAPACIDAD | MUJERES Y DIVERSIDAD</t>
        </is>
      </c>
      <c r="I116" t="inlineStr">
        <is>
          <t>AFIRMATIVO</t>
        </is>
      </c>
      <c r="J116" s="17" t="inlineStr">
        <is>
          <t>AFIRMATIVO</t>
        </is>
      </c>
      <c r="L116" t="inlineStr">
        <is>
          <t>AFIRMATIVO</t>
        </is>
      </c>
      <c r="M116" s="9" t="inlineStr">
        <is>
          <t>AFIRMATIVO</t>
        </is>
      </c>
      <c r="N116" s="17" t="inlineStr">
        <is>
          <t>AFIRMATIVO</t>
        </is>
      </c>
      <c r="O116" t="inlineStr">
        <is>
          <t>AFIRMATIVO</t>
        </is>
      </c>
      <c r="Q116" t="inlineStr">
        <is>
          <t>AFIRMATIVO</t>
        </is>
      </c>
      <c r="S116" t="inlineStr">
        <is>
          <t>AFIRMATIVO</t>
        </is>
      </c>
      <c r="V116" s="17" t="inlineStr">
        <is>
          <t>AFIRMATIVO</t>
        </is>
      </c>
      <c r="W116" s="17" t="inlineStr">
        <is>
          <t>AFIRMATIVO</t>
        </is>
      </c>
    </row>
    <row r="117" ht="15.75" customHeight="1" thickBot="1">
      <c r="A117">
        <f>_xlfn.CONCAT(B117,,","," ",C117)</f>
        <v/>
      </c>
      <c r="B117" t="inlineStr">
        <is>
          <t>Ianni</t>
        </is>
      </c>
      <c r="C117" t="inlineStr">
        <is>
          <t>Ana María</t>
        </is>
      </c>
      <c r="D117" t="inlineStr">
        <is>
          <t>SANTA CRUZ</t>
        </is>
      </c>
      <c r="E117" s="1" t="n">
        <v>45270</v>
      </c>
      <c r="F117" s="1" t="n">
        <v>46730</v>
      </c>
      <c r="G117" t="inlineStr">
        <is>
          <t>UNIÓN POR LA PATRIA</t>
        </is>
      </c>
      <c r="H117" s="12" t="inlineStr">
        <is>
          <t>PRESUPUESTO Y HACIENDA | EDUCACION | CIENCIA, TECNOLOGIA E INNOVACION PRODUCTIVA | ENERGIA Y COMBUSTIBLES | TRANSPORTES | TURISMO | MINERIA | DEPORTES</t>
        </is>
      </c>
      <c r="I117" t="inlineStr">
        <is>
          <t>NEGATIVO</t>
        </is>
      </c>
      <c r="J117" s="17" t="inlineStr">
        <is>
          <t>NEGATIVO</t>
        </is>
      </c>
      <c r="L117" t="inlineStr">
        <is>
          <t>NEGATIVO</t>
        </is>
      </c>
      <c r="M117" s="9" t="inlineStr">
        <is>
          <t>NEGATIVO</t>
        </is>
      </c>
      <c r="N117" s="17" t="inlineStr">
        <is>
          <t>NEGATIVO</t>
        </is>
      </c>
      <c r="O117" t="inlineStr">
        <is>
          <t>NEGATIVO</t>
        </is>
      </c>
      <c r="Q117" t="inlineStr">
        <is>
          <t>NEGATIVO</t>
        </is>
      </c>
      <c r="S117" t="inlineStr">
        <is>
          <t>NEGATIVO</t>
        </is>
      </c>
      <c r="V117" s="17" t="inlineStr">
        <is>
          <t>NEGATIVO</t>
        </is>
      </c>
      <c r="W117" s="17" t="inlineStr">
        <is>
          <t>NEGATIVO</t>
        </is>
      </c>
    </row>
    <row r="118" ht="15.75" customHeight="1" thickBot="1">
      <c r="A118">
        <f>_xlfn.CONCAT(B118,,","," ",C118)</f>
        <v/>
      </c>
      <c r="B118" t="inlineStr">
        <is>
          <t>Ibañez</t>
        </is>
      </c>
      <c r="C118" t="inlineStr">
        <is>
          <t>María Cecilia</t>
        </is>
      </c>
      <c r="D118" t="inlineStr">
        <is>
          <t>CORDOBA</t>
        </is>
      </c>
      <c r="E118" s="1" t="n">
        <v>45270</v>
      </c>
      <c r="F118" s="1" t="n">
        <v>46730</v>
      </c>
      <c r="G118" t="inlineStr">
        <is>
          <t>LA LIBERTAD AVANZA</t>
        </is>
      </c>
      <c r="H118" s="12" t="inlineStr">
        <is>
          <t>RELACIONES EXTERIORES Y CULTO | CULTURA | LEGISLACION PENAL | INDUSTRIA | TRANSPORTES | TURISMO | DERECHOS HUMANOS Y GARANTIAS</t>
        </is>
      </c>
      <c r="I118" t="inlineStr">
        <is>
          <t>AFIRMATIVO</t>
        </is>
      </c>
      <c r="J118" s="17" t="inlineStr">
        <is>
          <t>AFIRMATIVO</t>
        </is>
      </c>
      <c r="L118" t="inlineStr">
        <is>
          <t>AFIRMATIVO</t>
        </is>
      </c>
      <c r="M118" s="9" t="inlineStr">
        <is>
          <t>AFIRMATIVO</t>
        </is>
      </c>
      <c r="N118" s="17" t="inlineStr">
        <is>
          <t>AFIRMATIVO</t>
        </is>
      </c>
      <c r="O118" t="inlineStr">
        <is>
          <t>AFIRMATIVO</t>
        </is>
      </c>
      <c r="Q118" t="inlineStr">
        <is>
          <t>AFIRMATIVO</t>
        </is>
      </c>
      <c r="S118" t="inlineStr">
        <is>
          <t>AFIRMATIVO</t>
        </is>
      </c>
      <c r="V118" s="17" t="inlineStr">
        <is>
          <t>AFIRMATIVO</t>
        </is>
      </c>
      <c r="W118" s="17" t="inlineStr">
        <is>
          <t>AFIRMATIVO</t>
        </is>
      </c>
    </row>
    <row r="119" ht="15.75" customHeight="1" thickBot="1">
      <c r="A119">
        <f>_xlfn.CONCAT(B119,,","," ",C119)</f>
        <v/>
      </c>
      <c r="B119" t="inlineStr">
        <is>
          <t>Jaime Quiroga</t>
        </is>
      </c>
      <c r="C119" t="inlineStr">
        <is>
          <t>Carlos Gustavo</t>
        </is>
      </c>
      <c r="D119" t="inlineStr">
        <is>
          <t>SAN JUAN</t>
        </is>
      </c>
      <c r="E119" s="1" t="n">
        <v>46001</v>
      </c>
      <c r="F119" s="1" t="n">
        <v>47461</v>
      </c>
      <c r="G119" t="inlineStr">
        <is>
          <t>PRODUCCION Y TRABAJO</t>
        </is>
      </c>
      <c r="H119" s="12" t="inlineStr">
        <is>
          <t>RECURSOS NATURALES Y CONSERVACION DEL AMBIENTE HUMANO</t>
        </is>
      </c>
      <c r="I119" t="inlineStr">
        <is>
          <t>AFIRMATIVO</t>
        </is>
      </c>
      <c r="J119" s="17" t="inlineStr">
        <is>
          <t>AFIRMATIVO</t>
        </is>
      </c>
      <c r="L119" t="inlineStr">
        <is>
          <t>AFIRMATIVO</t>
        </is>
      </c>
      <c r="M119" s="9" t="inlineStr">
        <is>
          <t>AFIRMATIVO</t>
        </is>
      </c>
      <c r="N119" s="17" t="inlineStr">
        <is>
          <t>AFIRMATIVO</t>
        </is>
      </c>
      <c r="O119" t="inlineStr">
        <is>
          <t>AFIRMATIVO</t>
        </is>
      </c>
      <c r="Q119" t="inlineStr">
        <is>
          <t>AFIRMATIVO</t>
        </is>
      </c>
      <c r="S119" t="inlineStr">
        <is>
          <t>AFIRMATIVO</t>
        </is>
      </c>
      <c r="V119" s="17" t="inlineStr">
        <is>
          <t>AFIRMATIVO</t>
        </is>
      </c>
      <c r="W119" s="17" t="inlineStr">
        <is>
          <t>AFIRMATIVO</t>
        </is>
      </c>
    </row>
    <row r="120" ht="15.75" customHeight="1" thickBot="1">
      <c r="A120">
        <f>_xlfn.CONCAT(B120,,","," ",C120)</f>
        <v/>
      </c>
      <c r="B120" t="inlineStr">
        <is>
          <t>Juliano</t>
        </is>
      </c>
      <c r="C120" t="inlineStr">
        <is>
          <t>Pablo</t>
        </is>
      </c>
      <c r="D120" t="inlineStr">
        <is>
          <t>BUENOS AIRES</t>
        </is>
      </c>
      <c r="E120" s="1" t="n">
        <v>45270</v>
      </c>
      <c r="F120" s="1" t="n">
        <v>46730</v>
      </c>
      <c r="G120" t="inlineStr">
        <is>
          <t>PROVINCIAS UNIDAS</t>
        </is>
      </c>
      <c r="H120" s="12" t="inlineStr">
        <is>
          <t>RELACIONES EXTERIORES Y CULTO | ACCION SOCIAL Y SALUD PUBLICA | DEFENSA NACIONAL | DEPORTES | PEQUEÑAS Y MEDIANAS EMPRESAS</t>
        </is>
      </c>
      <c r="I120" t="inlineStr">
        <is>
          <t>ABSTENCIÓN</t>
        </is>
      </c>
      <c r="J120" s="17" t="inlineStr">
        <is>
          <t>NEGATIVO</t>
        </is>
      </c>
      <c r="L120" t="inlineStr">
        <is>
          <t>NEGATIVO</t>
        </is>
      </c>
      <c r="M120" s="9" t="inlineStr">
        <is>
          <t>NEGATIVO</t>
        </is>
      </c>
      <c r="N120" s="17" t="inlineStr">
        <is>
          <t>AFIRMATIVO</t>
        </is>
      </c>
      <c r="O120" t="inlineStr">
        <is>
          <t>AFIRMATIVO</t>
        </is>
      </c>
      <c r="Q120" t="inlineStr">
        <is>
          <t>AUSENTE</t>
        </is>
      </c>
      <c r="S120" t="inlineStr">
        <is>
          <t>NEGATIVO</t>
        </is>
      </c>
      <c r="V120" s="17" t="inlineStr">
        <is>
          <t>NEGATIVO</t>
        </is>
      </c>
      <c r="W120" s="17" t="inlineStr">
        <is>
          <t>AUSENTE</t>
        </is>
      </c>
    </row>
    <row r="121" ht="15.75" customHeight="1" thickBot="1">
      <c r="A121">
        <f>_xlfn.CONCAT(B121,,","," ",C121)</f>
        <v/>
      </c>
      <c r="B121" t="inlineStr">
        <is>
          <t>Kirchner</t>
        </is>
      </c>
      <c r="C121" t="inlineStr">
        <is>
          <t>Máximo Carlos</t>
        </is>
      </c>
      <c r="D121" t="inlineStr">
        <is>
          <t>BUENOS AIRES</t>
        </is>
      </c>
      <c r="E121" s="1" t="n">
        <v>45270</v>
      </c>
      <c r="F121" s="1" t="n">
        <v>46730</v>
      </c>
      <c r="G121" t="inlineStr">
        <is>
          <t>UNIÓN POR LA PATRIA</t>
        </is>
      </c>
      <c r="H121" s="12" t="inlineStr">
        <is>
          <t>ENERGIA Y COMBUSTIBLES | RECURSOS NATURALES Y CONSERVACION DEL AMBIENTE HUMANO | ECONOMIA | ANALISIS Y SEGUIMIENTO DEL CUMPLIMIENTO DE NORMAS TRIBUTARIAS Y PREVISIONALES</t>
        </is>
      </c>
      <c r="I121" t="inlineStr">
        <is>
          <t>NEGATIVO</t>
        </is>
      </c>
      <c r="J121" s="17" t="inlineStr">
        <is>
          <t>NEGATIVO</t>
        </is>
      </c>
      <c r="L121" t="inlineStr">
        <is>
          <t>NEGATIVO</t>
        </is>
      </c>
      <c r="M121" s="9" t="inlineStr">
        <is>
          <t>NEGATIVO</t>
        </is>
      </c>
      <c r="N121" s="17" t="inlineStr">
        <is>
          <t>NEGATIVO</t>
        </is>
      </c>
      <c r="O121" t="inlineStr">
        <is>
          <t>NEGATIVO</t>
        </is>
      </c>
      <c r="Q121" t="inlineStr">
        <is>
          <t>AUSENTE</t>
        </is>
      </c>
      <c r="S121" t="inlineStr">
        <is>
          <t>AUSENTE</t>
        </is>
      </c>
      <c r="V121" s="17" t="inlineStr">
        <is>
          <t>NEGATIVO</t>
        </is>
      </c>
      <c r="W121" s="17" t="inlineStr">
        <is>
          <t>NEGATIVO</t>
        </is>
      </c>
    </row>
    <row r="122" ht="15.75" customHeight="1" thickBot="1">
      <c r="A122">
        <f>_xlfn.CONCAT(B122,,","," ",C122)</f>
        <v/>
      </c>
      <c r="B122" t="inlineStr">
        <is>
          <t>Lanesan Sancho</t>
        </is>
      </c>
      <c r="C122" t="inlineStr">
        <is>
          <t>Moira</t>
        </is>
      </c>
      <c r="D122" t="inlineStr">
        <is>
          <t>SANTA CRUZ</t>
        </is>
      </c>
      <c r="E122" s="1" t="n">
        <v>46001</v>
      </c>
      <c r="F122" s="1" t="n">
        <v>47461</v>
      </c>
      <c r="G122" t="inlineStr">
        <is>
          <t>UNIÓN POR LA PATRIA</t>
        </is>
      </c>
      <c r="H122" s="12" t="inlineStr">
        <is>
          <t>COMERCIO | ECONOMIAS Y DESARROLLO REGIONAL | ASUNTOS MUNICIPALES | INTERESES MARITIMOS, FLUVIALES, PESQUEROS Y PORTUARIOS | MERCOSUR | PEQUEÑAS Y MEDIANAS EMPRESAS</t>
        </is>
      </c>
      <c r="I122" t="inlineStr">
        <is>
          <t>NEGATIVO</t>
        </is>
      </c>
      <c r="J122" s="17" t="inlineStr">
        <is>
          <t>NEGATIVO</t>
        </is>
      </c>
      <c r="L122" t="inlineStr">
        <is>
          <t>NEGATIVO</t>
        </is>
      </c>
      <c r="M122" s="9" t="inlineStr">
        <is>
          <t>NEGATIVO</t>
        </is>
      </c>
      <c r="N122" s="17" t="inlineStr">
        <is>
          <t>NEGATIVO</t>
        </is>
      </c>
      <c r="O122" t="inlineStr">
        <is>
          <t>AFIRMATIVO</t>
        </is>
      </c>
      <c r="Q122" t="inlineStr">
        <is>
          <t>NEGATIVO</t>
        </is>
      </c>
      <c r="S122" t="inlineStr">
        <is>
          <t>NEGATIVO</t>
        </is>
      </c>
      <c r="V122" s="17" t="inlineStr">
        <is>
          <t>NEGATIVO</t>
        </is>
      </c>
      <c r="W122" s="17" t="inlineStr">
        <is>
          <t>NEGATIVO</t>
        </is>
      </c>
    </row>
    <row r="123" ht="15.75" customHeight="1" thickBot="1">
      <c r="A123">
        <f>_xlfn.CONCAT(B123,,","," ",C123)</f>
        <v/>
      </c>
      <c r="B123" t="inlineStr">
        <is>
          <t>Laumann</t>
        </is>
      </c>
      <c r="C123" t="inlineStr">
        <is>
          <t>Andrés Ariel</t>
        </is>
      </c>
      <c r="D123" t="inlineStr">
        <is>
          <t>ENTRE RIOS</t>
        </is>
      </c>
      <c r="E123" s="1" t="n">
        <v>46001</v>
      </c>
      <c r="F123" s="1" t="n">
        <v>47461</v>
      </c>
      <c r="G123" t="inlineStr">
        <is>
          <t>LA LIBERTAD AVANZA</t>
        </is>
      </c>
      <c r="H123" s="10" t="inlineStr">
        <is>
          <t>RELACIONES EXTERIORES Y CULTO | OBRAS PUBLICAS | AGRICULTURA Y GANADERIA | INDUSTRIA | ENERGIA Y COMBUSTIBLES | INTERESES MARITIMOS, FLUVIALES, PESQUEROS Y PORTUARIOS | RECURSOS NATURALES Y CONSERVACION DEL AMBIENTE HUMANO | TURISMO | MERCOSUR | DEFENSA DEL CONSUMIDOR, DEL USUARIO Y DE LA COMPETENCIA</t>
        </is>
      </c>
      <c r="I123" t="inlineStr">
        <is>
          <t>AFIRMATIVO</t>
        </is>
      </c>
      <c r="J123" s="17" t="inlineStr">
        <is>
          <t>AFIRMATIVO</t>
        </is>
      </c>
      <c r="L123" t="inlineStr">
        <is>
          <t>AFIRMATIVO</t>
        </is>
      </c>
      <c r="M123" s="9" t="inlineStr">
        <is>
          <t>AFIRMATIVO</t>
        </is>
      </c>
      <c r="N123" s="17" t="inlineStr">
        <is>
          <t>AFIRMATIVO</t>
        </is>
      </c>
      <c r="O123" t="inlineStr">
        <is>
          <t>AFIRMATIVO</t>
        </is>
      </c>
      <c r="Q123" t="inlineStr">
        <is>
          <t>AFIRMATIVO</t>
        </is>
      </c>
      <c r="S123" t="inlineStr">
        <is>
          <t>AFIRMATIVO</t>
        </is>
      </c>
      <c r="V123" s="17" t="inlineStr">
        <is>
          <t>AFIRMATIVO</t>
        </is>
      </c>
      <c r="W123" s="17" t="inlineStr">
        <is>
          <t>AFIRMATIVO</t>
        </is>
      </c>
    </row>
    <row r="124" ht="15.75" customHeight="1" thickBot="1">
      <c r="A124">
        <f>_xlfn.CONCAT(B124,,","," ",C124)</f>
        <v/>
      </c>
      <c r="B124" t="inlineStr">
        <is>
          <t>Leiva</t>
        </is>
      </c>
      <c r="C124" t="inlineStr">
        <is>
          <t>Aldo</t>
        </is>
      </c>
      <c r="D124" t="inlineStr">
        <is>
          <t>CHACO</t>
        </is>
      </c>
      <c r="E124" s="1" t="n">
        <v>45270</v>
      </c>
      <c r="F124" s="1" t="n">
        <v>46730</v>
      </c>
      <c r="G124" t="inlineStr">
        <is>
          <t>UNIÓN POR LA PATRIA</t>
        </is>
      </c>
      <c r="H124" s="12" t="inlineStr">
        <is>
          <t>ASUNTOS CONSTITUCIONALES | PREVISION Y SEGURIDAD SOCIAL | DE LAS PERSONAS MAYORES | VIVIENDA Y ORDENAMIENTO URBANO | ASUNTOS COOPERATIVOS, MUTUALES Y ORGANIZACIONES NO GUBERNAMENTALES</t>
        </is>
      </c>
      <c r="I124" t="inlineStr">
        <is>
          <t>NEGATIVO</t>
        </is>
      </c>
      <c r="J124" s="17" t="inlineStr">
        <is>
          <t>NEGATIVO</t>
        </is>
      </c>
      <c r="L124" t="inlineStr">
        <is>
          <t>NEGATIVO</t>
        </is>
      </c>
      <c r="M124" s="9" t="inlineStr">
        <is>
          <t>NEGATIVO</t>
        </is>
      </c>
      <c r="N124" s="17" t="inlineStr">
        <is>
          <t>NEGATIVO</t>
        </is>
      </c>
      <c r="O124" t="inlineStr">
        <is>
          <t>AFIRMATIVO</t>
        </is>
      </c>
      <c r="Q124" t="inlineStr">
        <is>
          <t>NEGATIVO</t>
        </is>
      </c>
      <c r="S124" t="inlineStr">
        <is>
          <t>NEGATIVO</t>
        </is>
      </c>
      <c r="V124" s="17" t="inlineStr">
        <is>
          <t>NEGATIVO</t>
        </is>
      </c>
      <c r="W124" s="17" t="inlineStr">
        <is>
          <t>NEGATIVO</t>
        </is>
      </c>
    </row>
    <row r="125" ht="15.75" customHeight="1" thickBot="1">
      <c r="A125">
        <f>_xlfn.CONCAT(B125,,","," ",C125)</f>
        <v/>
      </c>
      <c r="B125" t="inlineStr">
        <is>
          <t>Lemoine</t>
        </is>
      </c>
      <c r="C125" t="inlineStr">
        <is>
          <t>Lilia</t>
        </is>
      </c>
      <c r="D125" t="inlineStr">
        <is>
          <t>BUENOS AIRES</t>
        </is>
      </c>
      <c r="E125" s="1" t="n">
        <v>45270</v>
      </c>
      <c r="F125" s="1" t="n">
        <v>46730</v>
      </c>
      <c r="G125" t="inlineStr">
        <is>
          <t>LA LIBERTAD AVANZA</t>
        </is>
      </c>
      <c r="H125" s="12" t="inlineStr">
        <is>
          <t>RELACIONES EXTERIORES Y CULTO | PRESUPUESTO Y HACIENDA | CIENCIA, TECNOLOGIA E INNOVACION PRODUCTIVA | COMUNICACIONES E INFORMATICA | DERECHOS HUMANOS Y GARANTIAS | MERCOSUR | LIBERTAD DE EXPRESION</t>
        </is>
      </c>
      <c r="I125" t="inlineStr">
        <is>
          <t>AFIRMATIVO</t>
        </is>
      </c>
      <c r="J125" s="17" t="inlineStr">
        <is>
          <t>AFIRMATIVO</t>
        </is>
      </c>
      <c r="L125" t="inlineStr">
        <is>
          <t>AFIRMATIVO</t>
        </is>
      </c>
      <c r="M125" s="9" t="inlineStr">
        <is>
          <t>AFIRMATIVO</t>
        </is>
      </c>
      <c r="N125" s="17" t="inlineStr">
        <is>
          <t>AFIRMATIVO</t>
        </is>
      </c>
      <c r="O125" t="inlineStr">
        <is>
          <t>AFIRMATIVO</t>
        </is>
      </c>
      <c r="Q125" t="inlineStr">
        <is>
          <t>AFIRMATIVO</t>
        </is>
      </c>
      <c r="S125" t="inlineStr">
        <is>
          <t>AFIRMATIVO</t>
        </is>
      </c>
      <c r="V125" s="17" t="inlineStr">
        <is>
          <t>AFIRMATIVO</t>
        </is>
      </c>
      <c r="W125" s="17" t="inlineStr">
        <is>
          <t>AFIRMATIVO</t>
        </is>
      </c>
    </row>
    <row r="126" ht="15.75" customHeight="1" thickBot="1">
      <c r="A126">
        <f>_xlfn.CONCAT(B126,,","," ",C126)</f>
        <v/>
      </c>
      <c r="B126" t="inlineStr">
        <is>
          <t>Leone</t>
        </is>
      </c>
      <c r="C126" t="inlineStr">
        <is>
          <t>Andrés</t>
        </is>
      </c>
      <c r="D126" t="inlineStr">
        <is>
          <t>CIUDAD DE BUENOS AIRES</t>
        </is>
      </c>
      <c r="E126" s="1" t="n">
        <v>46001</v>
      </c>
      <c r="F126" s="1" t="n">
        <v>47461</v>
      </c>
      <c r="G126" t="inlineStr">
        <is>
          <t>LA LIBERTAD AVANZA</t>
        </is>
      </c>
      <c r="H126" s="12" t="inlineStr">
        <is>
          <t>ACCION SOCIAL Y SALUD PUBLICA | AGRICULTURA Y GANADERIA | ENERGIA Y COMBUSTIBLES | TRANSPORTES | ECONOMIAS Y DESARROLLO REGIONAL | DEPORTES</t>
        </is>
      </c>
      <c r="I126" t="inlineStr">
        <is>
          <t>AFIRMATIVO</t>
        </is>
      </c>
      <c r="J126" s="17" t="inlineStr">
        <is>
          <t>AFIRMATIVO</t>
        </is>
      </c>
      <c r="L126" t="inlineStr">
        <is>
          <t>AFIRMATIVO</t>
        </is>
      </c>
      <c r="M126" s="9" t="inlineStr">
        <is>
          <t>AFIRMATIVO</t>
        </is>
      </c>
      <c r="N126" s="17" t="inlineStr">
        <is>
          <t>AFIRMATIVO</t>
        </is>
      </c>
      <c r="O126" t="inlineStr">
        <is>
          <t>AFIRMATIVO</t>
        </is>
      </c>
      <c r="Q126" t="inlineStr">
        <is>
          <t>AFIRMATIVO</t>
        </is>
      </c>
      <c r="S126" t="inlineStr">
        <is>
          <t>AFIRMATIVO</t>
        </is>
      </c>
      <c r="V126" s="17" t="inlineStr">
        <is>
          <t>AFIRMATIVO</t>
        </is>
      </c>
      <c r="W126" s="17" t="inlineStr">
        <is>
          <t>AFIRMATIVO</t>
        </is>
      </c>
    </row>
    <row r="127" ht="15.75" customHeight="1" thickBot="1">
      <c r="A127">
        <f>_xlfn.CONCAT(B127,,","," ",C127)</f>
        <v/>
      </c>
      <c r="B127" t="inlineStr">
        <is>
          <t>Llano</t>
        </is>
      </c>
      <c r="C127" t="inlineStr">
        <is>
          <t>Mercedes</t>
        </is>
      </c>
      <c r="D127" t="inlineStr">
        <is>
          <t>MENDOZA</t>
        </is>
      </c>
      <c r="E127" s="1" t="n">
        <v>45270</v>
      </c>
      <c r="F127" s="1" t="n">
        <v>46730</v>
      </c>
      <c r="G127" t="inlineStr">
        <is>
          <t>LA LIBERTAD AVANZA</t>
        </is>
      </c>
      <c r="H127" s="12" t="inlineStr">
        <is>
          <t>ASUNTOS CONSTITUCIONALES | LEGISLACION GENERAL | EDUCACION | CIENCIA, TECNOLOGIA E INNOVACION PRODUCTIVA | MINERIA | LIBERTAD DE EXPRESION</t>
        </is>
      </c>
      <c r="I127" t="inlineStr">
        <is>
          <t>AFIRMATIVO</t>
        </is>
      </c>
      <c r="J127" s="17" t="inlineStr">
        <is>
          <t>AFIRMATIVO</t>
        </is>
      </c>
      <c r="L127" t="inlineStr">
        <is>
          <t>AFIRMATIVO</t>
        </is>
      </c>
      <c r="M127" s="9" t="inlineStr">
        <is>
          <t>AFIRMATIVO</t>
        </is>
      </c>
      <c r="N127" s="17" t="inlineStr">
        <is>
          <t>AFIRMATIVO</t>
        </is>
      </c>
      <c r="O127" t="inlineStr">
        <is>
          <t>AFIRMATIVO</t>
        </is>
      </c>
      <c r="Q127" t="inlineStr">
        <is>
          <t>AFIRMATIVO</t>
        </is>
      </c>
      <c r="S127" t="inlineStr">
        <is>
          <t>AFIRMATIVO</t>
        </is>
      </c>
      <c r="V127" s="17" t="inlineStr">
        <is>
          <t>AFIRMATIVO</t>
        </is>
      </c>
      <c r="W127" s="17" t="inlineStr">
        <is>
          <t>AFIRMATIVO</t>
        </is>
      </c>
    </row>
    <row r="128" ht="15.75" customHeight="1" thickBot="1">
      <c r="A128">
        <f>_xlfn.CONCAT(B128,,","," ",C128)</f>
        <v/>
      </c>
      <c r="B128" t="inlineStr">
        <is>
          <t>Lluch</t>
        </is>
      </c>
      <c r="C128" t="inlineStr">
        <is>
          <t>Enrique</t>
        </is>
      </c>
      <c r="D128" t="inlineStr">
        <is>
          <t>CORDOBA</t>
        </is>
      </c>
      <c r="E128" s="1" t="n">
        <v>46001</v>
      </c>
      <c r="F128" s="1" t="n">
        <v>47461</v>
      </c>
      <c r="G128" t="inlineStr">
        <is>
          <t>LA LIBERTAD AVANZA</t>
        </is>
      </c>
      <c r="H128" s="12" t="inlineStr">
        <is>
          <t>AGRICULTURA Y GANADERIA | INDUSTRIA | COMUNICACIONES E INFORMATICA | TRANSPORTES | ASUNTOS MUNICIPALES | ECONOMIA | PEQUEÑAS Y MEDIANAS EMPRESAS</t>
        </is>
      </c>
      <c r="I128" t="inlineStr">
        <is>
          <t>AFIRMATIVO</t>
        </is>
      </c>
      <c r="J128" s="17" t="inlineStr">
        <is>
          <t>AFIRMATIVO</t>
        </is>
      </c>
      <c r="L128" t="inlineStr">
        <is>
          <t>AFIRMATIVO</t>
        </is>
      </c>
      <c r="M128" s="9" t="inlineStr">
        <is>
          <t>AFIRMATIVO</t>
        </is>
      </c>
      <c r="N128" s="17" t="inlineStr">
        <is>
          <t>AFIRMATIVO</t>
        </is>
      </c>
      <c r="O128" t="inlineStr">
        <is>
          <t>AFIRMATIVO</t>
        </is>
      </c>
      <c r="Q128" t="inlineStr">
        <is>
          <t>AFIRMATIVO</t>
        </is>
      </c>
      <c r="S128" t="inlineStr">
        <is>
          <t>AFIRMATIVO</t>
        </is>
      </c>
      <c r="V128" s="17" t="inlineStr">
        <is>
          <t>AFIRMATIVO</t>
        </is>
      </c>
      <c r="W128" s="17" t="inlineStr">
        <is>
          <t>AFIRMATIVO</t>
        </is>
      </c>
    </row>
    <row r="129" ht="15.75" customHeight="1" thickBot="1">
      <c r="A129">
        <f>_xlfn.CONCAT(B129,,","," ",C129)</f>
        <v/>
      </c>
      <c r="B129" t="inlineStr">
        <is>
          <t>Longo</t>
        </is>
      </c>
      <c r="C129" t="inlineStr">
        <is>
          <t>Johanna Sabrina</t>
        </is>
      </c>
      <c r="D129" t="inlineStr">
        <is>
          <t>BUENOS AIRES</t>
        </is>
      </c>
      <c r="E129" s="1" t="n">
        <v>46001</v>
      </c>
      <c r="F129" s="1" t="n">
        <v>47461</v>
      </c>
      <c r="G129" t="inlineStr">
        <is>
          <t>LA LIBERTAD AVANZA</t>
        </is>
      </c>
      <c r="H129" s="12" t="inlineStr">
        <is>
          <t>LEGISLACION GENERAL | JUSTICIA | FAMILIAS, NIÑEZ Y JUVENTUDES | DE LAS PERSONAS MAYORES | TURISMO | DEFENSA DEL CONSUMIDOR, DEL USUARIO Y DE LA COMPETENCIA | DISCAPACIDAD | MUJERES Y DIVERSIDAD</t>
        </is>
      </c>
      <c r="I129" t="inlineStr">
        <is>
          <t>AFIRMATIVO</t>
        </is>
      </c>
      <c r="J129" s="17" t="inlineStr">
        <is>
          <t>AFIRMATIVO</t>
        </is>
      </c>
      <c r="L129" t="inlineStr">
        <is>
          <t>AFIRMATIVO</t>
        </is>
      </c>
      <c r="M129" s="9" t="inlineStr">
        <is>
          <t>AFIRMATIVO</t>
        </is>
      </c>
      <c r="N129" s="17" t="inlineStr">
        <is>
          <t>AFIRMATIVO</t>
        </is>
      </c>
      <c r="O129" t="inlineStr">
        <is>
          <t>AFIRMATIVO</t>
        </is>
      </c>
      <c r="Q129" t="inlineStr">
        <is>
          <t>AFIRMATIVO</t>
        </is>
      </c>
      <c r="S129" t="inlineStr">
        <is>
          <t>AFIRMATIVO</t>
        </is>
      </c>
      <c r="V129" s="17" t="inlineStr">
        <is>
          <t>AFIRMATIVO</t>
        </is>
      </c>
      <c r="W129" s="17" t="inlineStr">
        <is>
          <t>AFIRMATIVO</t>
        </is>
      </c>
    </row>
    <row r="130" ht="15.75" customHeight="1" thickBot="1">
      <c r="A130">
        <f>_xlfn.CONCAT(B130,,","," ",C130)</f>
        <v/>
      </c>
      <c r="B130" t="inlineStr">
        <is>
          <t>López Pasquali</t>
        </is>
      </c>
      <c r="C130" t="inlineStr">
        <is>
          <t>Cecilia</t>
        </is>
      </c>
      <c r="D130" t="inlineStr">
        <is>
          <t>SANTIAGO DEL ESTERO</t>
        </is>
      </c>
      <c r="E130" s="1" t="n">
        <v>46001</v>
      </c>
      <c r="F130" s="1" t="n">
        <v>47461</v>
      </c>
      <c r="G130" t="inlineStr">
        <is>
          <t>UNIÓN POR LA PATRIA</t>
        </is>
      </c>
      <c r="H130" s="12" t="inlineStr">
        <is>
          <t>RELACIONES EXTERIORES Y CULTO | CULTURA | OBRAS PUBLICAS | VIVIENDA Y ORDENAMIENTO URBANO | RECURSOS NATURALES Y CONSERVACION DEL AMBIENTE HUMANO | TURISMO</t>
        </is>
      </c>
      <c r="I130" t="inlineStr">
        <is>
          <t>NEGATIVO</t>
        </is>
      </c>
      <c r="J130" s="17" t="inlineStr">
        <is>
          <t>NEGATIVO</t>
        </is>
      </c>
      <c r="L130" t="inlineStr">
        <is>
          <t>NEGATIVO</t>
        </is>
      </c>
      <c r="M130" s="9" t="inlineStr">
        <is>
          <t>NEGATIVO</t>
        </is>
      </c>
      <c r="N130" s="17" t="inlineStr">
        <is>
          <t>NEGATIVO</t>
        </is>
      </c>
      <c r="O130" t="inlineStr">
        <is>
          <t>AFIRMATIVO</t>
        </is>
      </c>
      <c r="Q130" t="inlineStr">
        <is>
          <t>NEGATIVO</t>
        </is>
      </c>
      <c r="S130" t="inlineStr">
        <is>
          <t>NEGATIVO</t>
        </is>
      </c>
      <c r="V130" s="17" t="inlineStr">
        <is>
          <t>NEGATIVO</t>
        </is>
      </c>
      <c r="W130" s="17" t="inlineStr">
        <is>
          <t>NEGATIVO</t>
        </is>
      </c>
    </row>
    <row r="131" ht="15.75" customHeight="1" thickBot="1">
      <c r="A131">
        <f>_xlfn.CONCAT(B131,,","," ",C131)</f>
        <v/>
      </c>
      <c r="B131" t="inlineStr">
        <is>
          <t>López</t>
        </is>
      </c>
      <c r="C131" t="inlineStr">
        <is>
          <t>Jimena</t>
        </is>
      </c>
      <c r="D131" t="inlineStr">
        <is>
          <t>BUENOS AIRES</t>
        </is>
      </c>
      <c r="E131" s="1" t="n">
        <v>46001</v>
      </c>
      <c r="F131" s="1" t="n">
        <v>47461</v>
      </c>
      <c r="G131" t="inlineStr">
        <is>
          <t>UNIÓN POR LA PATRIA</t>
        </is>
      </c>
      <c r="H131" s="12" t="inlineStr">
        <is>
          <t>LEGISLACION PENAL | AGRICULTURA Y GANADERIA | FINANZAS | TRANSPORTES | INTERESES MARITIMOS, FLUVIALES, PESQUEROS Y PORTUARIOS | MUJERES Y DIVERSIDAD</t>
        </is>
      </c>
      <c r="I131" t="inlineStr">
        <is>
          <t>NEGATIVO</t>
        </is>
      </c>
      <c r="J131" s="17" t="inlineStr">
        <is>
          <t>NEGATIVO</t>
        </is>
      </c>
      <c r="L131" t="inlineStr">
        <is>
          <t>NEGATIVO</t>
        </is>
      </c>
      <c r="M131" s="9" t="inlineStr">
        <is>
          <t>NEGATIVO</t>
        </is>
      </c>
      <c r="N131" s="17" t="inlineStr">
        <is>
          <t>NEGATIVO</t>
        </is>
      </c>
      <c r="O131" t="inlineStr">
        <is>
          <t>AFIRMATIVO</t>
        </is>
      </c>
      <c r="Q131" t="inlineStr">
        <is>
          <t>NEGATIVO</t>
        </is>
      </c>
      <c r="S131" t="inlineStr">
        <is>
          <t>NEGATIVO</t>
        </is>
      </c>
      <c r="V131" s="17" t="inlineStr">
        <is>
          <t>NEGATIVO</t>
        </is>
      </c>
      <c r="W131" s="17" t="inlineStr">
        <is>
          <t>NEGATIVO</t>
        </is>
      </c>
    </row>
    <row r="132" ht="15.75" customHeight="1" thickBot="1">
      <c r="A132">
        <f>_xlfn.CONCAT(B132,,","," ",C132)</f>
        <v/>
      </c>
      <c r="B132" t="inlineStr">
        <is>
          <t>Lousteau</t>
        </is>
      </c>
      <c r="C132" t="inlineStr">
        <is>
          <t>Martín</t>
        </is>
      </c>
      <c r="D132" t="inlineStr">
        <is>
          <t>CIUDAD DE BUENOS AIRES</t>
        </is>
      </c>
      <c r="E132" s="1" t="n">
        <v>46001</v>
      </c>
      <c r="F132" s="1" t="n">
        <v>47461</v>
      </c>
      <c r="G132" t="inlineStr">
        <is>
          <t>PROVINCIAS UNIDAS</t>
        </is>
      </c>
      <c r="H132" s="12" t="inlineStr">
        <is>
          <t>PREVISION Y SEGURIDAD SOCIAL | INDUSTRIA | ENERGIA Y COMBUSTIBLES | ECONOMIA</t>
        </is>
      </c>
      <c r="I132" t="inlineStr">
        <is>
          <t>ABSTENCIÓN</t>
        </is>
      </c>
      <c r="J132" s="17" t="inlineStr">
        <is>
          <t>NEGATIVO</t>
        </is>
      </c>
      <c r="L132" t="inlineStr">
        <is>
          <t>NEGATIVO</t>
        </is>
      </c>
      <c r="M132" s="9" t="inlineStr">
        <is>
          <t>NEGATIVO</t>
        </is>
      </c>
      <c r="N132" s="17" t="inlineStr">
        <is>
          <t>AFIRMATIVO</t>
        </is>
      </c>
      <c r="O132" t="inlineStr">
        <is>
          <t>AFIRMATIVO</t>
        </is>
      </c>
      <c r="Q132" t="inlineStr">
        <is>
          <t>ABSTENCION</t>
        </is>
      </c>
      <c r="S132" t="inlineStr">
        <is>
          <t>AUSENTE</t>
        </is>
      </c>
      <c r="V132" s="17" t="inlineStr">
        <is>
          <t>NEGATIVO</t>
        </is>
      </c>
      <c r="W132" s="17" t="inlineStr">
        <is>
          <t>AUSENTE</t>
        </is>
      </c>
    </row>
    <row r="133" ht="15.75" customHeight="1" thickBot="1">
      <c r="A133">
        <f>_xlfn.CONCAT(B133,,","," ",C133)</f>
        <v/>
      </c>
      <c r="B133" t="inlineStr">
        <is>
          <t>Luque</t>
        </is>
      </c>
      <c r="C133" t="inlineStr">
        <is>
          <t>Juan Pablo</t>
        </is>
      </c>
      <c r="D133" t="inlineStr">
        <is>
          <t>CHUBUT</t>
        </is>
      </c>
      <c r="E133" s="1" t="n">
        <v>46001</v>
      </c>
      <c r="F133" s="1" t="n">
        <v>47461</v>
      </c>
      <c r="G133" t="inlineStr">
        <is>
          <t>UNIÓN POR LA PATRIA</t>
        </is>
      </c>
      <c r="H133" s="12" t="inlineStr">
        <is>
          <t>ENERGIA Y COMBUSTIBLES | INTERESES MARITIMOS, FLUVIALES, PESQUEROS Y PORTUARIOS | TURISMO</t>
        </is>
      </c>
      <c r="I133" t="inlineStr">
        <is>
          <t>NEGATIVO</t>
        </is>
      </c>
      <c r="J133" s="17" t="inlineStr">
        <is>
          <t>NEGATIVO</t>
        </is>
      </c>
      <c r="L133" t="inlineStr">
        <is>
          <t>NEGATIVO</t>
        </is>
      </c>
      <c r="M133" s="9" t="inlineStr">
        <is>
          <t>NEGATIVO</t>
        </is>
      </c>
      <c r="N133" s="17" t="inlineStr">
        <is>
          <t>NEGATIVO</t>
        </is>
      </c>
      <c r="O133" t="inlineStr">
        <is>
          <t>AFIRMATIVO</t>
        </is>
      </c>
      <c r="Q133" t="inlineStr">
        <is>
          <t>NEGATIVO</t>
        </is>
      </c>
      <c r="S133" t="inlineStr">
        <is>
          <t>NEGATIVO</t>
        </is>
      </c>
      <c r="V133" s="17" t="inlineStr">
        <is>
          <t>NEGATIVO</t>
        </is>
      </c>
      <c r="W133" s="17" t="inlineStr">
        <is>
          <t>NEGATIVO</t>
        </is>
      </c>
    </row>
    <row r="134" ht="15.75" customHeight="1" thickBot="1">
      <c r="A134">
        <f>_xlfn.CONCAT(B134,,","," ",C134)</f>
        <v/>
      </c>
      <c r="B134" t="inlineStr">
        <is>
          <t>Macyszyn</t>
        </is>
      </c>
      <c r="C134" t="inlineStr">
        <is>
          <t>Lorena</t>
        </is>
      </c>
      <c r="D134" t="inlineStr">
        <is>
          <t>BUENOS AIRES</t>
        </is>
      </c>
      <c r="E134" s="1" t="n">
        <v>45270</v>
      </c>
      <c r="F134" s="1" t="n">
        <v>46730</v>
      </c>
      <c r="G134" t="inlineStr">
        <is>
          <t>LA LIBERTAD AVANZA</t>
        </is>
      </c>
      <c r="H134" s="12" t="inlineStr">
        <is>
          <t>ASUNTOS CONSTITUCIONALES | LEGISLACION GENERAL | PRESUPUESTO Y HACIENDA | PREVISION Y SEGURIDAD SOCIAL | LEGISLACION DEL TRABAJO | OBRAS PUBLICAS | TRANSPORTES | PEQUEÑAS Y MEDIANAS EMPRESAS</t>
        </is>
      </c>
      <c r="I134" t="inlineStr">
        <is>
          <t>AFIRMATIVO</t>
        </is>
      </c>
      <c r="J134" s="17" t="inlineStr">
        <is>
          <t>AFIRMATIVO</t>
        </is>
      </c>
      <c r="L134" t="inlineStr">
        <is>
          <t>AFIRMATIVO</t>
        </is>
      </c>
      <c r="M134" s="9" t="inlineStr">
        <is>
          <t>AFIRMATIVO</t>
        </is>
      </c>
      <c r="N134" s="17" t="inlineStr">
        <is>
          <t>AFIRMATIVO</t>
        </is>
      </c>
      <c r="O134" t="inlineStr">
        <is>
          <t>AFIRMATIVO</t>
        </is>
      </c>
      <c r="Q134" t="inlineStr">
        <is>
          <t>AFIRMATIVO</t>
        </is>
      </c>
      <c r="S134" t="inlineStr">
        <is>
          <t>AFIRMATIVO</t>
        </is>
      </c>
      <c r="V134" s="17" t="inlineStr">
        <is>
          <t>AFIRMATIVO</t>
        </is>
      </c>
      <c r="W134" s="17" t="inlineStr">
        <is>
          <t>AFIRMATIVO</t>
        </is>
      </c>
    </row>
    <row r="135" ht="15.75" customHeight="1" thickBot="1">
      <c r="A135">
        <f>_xlfn.CONCAT(B135,,","," ",C135)</f>
        <v/>
      </c>
      <c r="B135" t="inlineStr">
        <is>
          <t>Mango</t>
        </is>
      </c>
      <c r="C135" t="inlineStr">
        <is>
          <t>Marcelo</t>
        </is>
      </c>
      <c r="D135" t="inlineStr">
        <is>
          <t>RIO NEGRO</t>
        </is>
      </c>
      <c r="E135" s="1" t="n">
        <v>46001</v>
      </c>
      <c r="F135" s="1" t="n">
        <v>46730</v>
      </c>
      <c r="G135" t="inlineStr">
        <is>
          <t>UNIÓN POR LA PATRIA</t>
        </is>
      </c>
      <c r="H135" s="12" t="inlineStr">
        <is>
          <t>LEGISLACION GENERAL | RELACIONES EXTERIORES Y CULTO | EDUCACION | ENERGIA Y COMBUSTIBLES | INTERESES MARITIMOS, FLUVIALES, PESQUEROS Y PORTUARIOS | RECURSOS NATURALES Y CONSERVACION DEL AMBIENTE HUMANO | DERECHOS HUMANOS Y GARANTIAS</t>
        </is>
      </c>
      <c r="I135" t="inlineStr">
        <is>
          <t>NEGATIVO</t>
        </is>
      </c>
      <c r="J135" s="17" t="inlineStr">
        <is>
          <t>NEGATIVO</t>
        </is>
      </c>
      <c r="L135" t="inlineStr">
        <is>
          <t>NEGATIVO</t>
        </is>
      </c>
      <c r="M135" s="9" t="inlineStr">
        <is>
          <t>NEGATIVO</t>
        </is>
      </c>
      <c r="N135" s="17" t="inlineStr">
        <is>
          <t>NEGATIVO</t>
        </is>
      </c>
      <c r="O135" t="inlineStr">
        <is>
          <t>NEGATIVO</t>
        </is>
      </c>
      <c r="Q135" t="inlineStr">
        <is>
          <t>NEGATIVO</t>
        </is>
      </c>
      <c r="S135" t="inlineStr">
        <is>
          <t>NEGATIVO</t>
        </is>
      </c>
      <c r="V135" s="17" t="inlineStr">
        <is>
          <t>NEGATIVO</t>
        </is>
      </c>
      <c r="W135" s="17" t="inlineStr">
        <is>
          <t>NEGATIVO</t>
        </is>
      </c>
    </row>
    <row r="136" ht="15.75" customHeight="1" thickBot="1">
      <c r="A136">
        <f>_xlfn.CONCAT(B136,,","," ",C136)</f>
        <v/>
      </c>
      <c r="B136" t="inlineStr">
        <is>
          <t>Manrique</t>
        </is>
      </c>
      <c r="C136" t="inlineStr">
        <is>
          <t>Mario</t>
        </is>
      </c>
      <c r="D136" t="inlineStr">
        <is>
          <t>BUENOS AIRES</t>
        </is>
      </c>
      <c r="E136" s="1" t="n">
        <v>45270</v>
      </c>
      <c r="F136" s="1" t="n">
        <v>46730</v>
      </c>
      <c r="G136" t="inlineStr">
        <is>
          <t>UNIÓN POR LA PATRIA</t>
        </is>
      </c>
      <c r="H136" s="12" t="inlineStr">
        <is>
          <t>CIENCIA, TECNOLOGIA E INNOVACION PRODUCTIVA | LEGISLACION DEL TRABAJO | OBRAS PUBLICAS | INDUSTRIA | TRANSPORTES | MINERIA</t>
        </is>
      </c>
      <c r="I136" t="inlineStr">
        <is>
          <t>NEGATIVO</t>
        </is>
      </c>
      <c r="J136" s="17" t="inlineStr">
        <is>
          <t>NEGATIVO</t>
        </is>
      </c>
      <c r="L136" t="inlineStr">
        <is>
          <t>NEGATIVO</t>
        </is>
      </c>
      <c r="M136" s="9" t="inlineStr">
        <is>
          <t>NEGATIVO</t>
        </is>
      </c>
      <c r="N136" s="17" t="inlineStr">
        <is>
          <t>NEGATIVO</t>
        </is>
      </c>
      <c r="O136" t="inlineStr">
        <is>
          <t>AUSENTE</t>
        </is>
      </c>
      <c r="Q136" t="inlineStr">
        <is>
          <t>NEGATIVO</t>
        </is>
      </c>
      <c r="S136" t="inlineStr">
        <is>
          <t>NEGATIVO</t>
        </is>
      </c>
      <c r="V136" s="17" t="inlineStr">
        <is>
          <t>NEGATIVO</t>
        </is>
      </c>
      <c r="W136" s="17" t="inlineStr">
        <is>
          <t>NEGATIVO</t>
        </is>
      </c>
    </row>
    <row r="137" ht="15.75" customHeight="1" thickBot="1">
      <c r="A137">
        <f>_xlfn.CONCAT(B137,,","," ",C137)</f>
        <v/>
      </c>
      <c r="B137" t="inlineStr">
        <is>
          <t>Marclay</t>
        </is>
      </c>
      <c r="C137" t="inlineStr">
        <is>
          <t>Marianela</t>
        </is>
      </c>
      <c r="D137" t="inlineStr">
        <is>
          <t>ENTRE RIOS</t>
        </is>
      </c>
      <c r="E137" s="1" t="n">
        <v>46001</v>
      </c>
      <c r="F137" s="1" t="n">
        <v>47461</v>
      </c>
      <c r="G137" t="inlineStr">
        <is>
          <t>UNIÓN POR LA PATRIA</t>
        </is>
      </c>
      <c r="H137" s="12" t="inlineStr">
        <is>
          <t>ACCION SOCIAL Y SALUD PUBLICA | FAMILIAS, NIÑEZ Y JUVENTUDES | POBLACION Y DESARROLLO HUMANO | DERECHOS HUMANOS Y GARANTIAS | DISCAPACIDAD | MUJERES Y DIVERSIDAD</t>
        </is>
      </c>
      <c r="I137" t="inlineStr">
        <is>
          <t>NEGATIVO</t>
        </is>
      </c>
      <c r="J137" s="17" t="inlineStr">
        <is>
          <t>NEGATIVO</t>
        </is>
      </c>
      <c r="L137" t="inlineStr">
        <is>
          <t>NEGATIVO</t>
        </is>
      </c>
      <c r="M137" s="9" t="inlineStr">
        <is>
          <t>NEGATIVO</t>
        </is>
      </c>
      <c r="N137" s="17" t="inlineStr">
        <is>
          <t>NEGATIVO</t>
        </is>
      </c>
      <c r="O137" t="inlineStr">
        <is>
          <t>AFIRMATIVO</t>
        </is>
      </c>
      <c r="Q137" t="inlineStr">
        <is>
          <t>NEGATIVO</t>
        </is>
      </c>
      <c r="S137" t="inlineStr">
        <is>
          <t>NEGATIVO</t>
        </is>
      </c>
      <c r="V137" s="17" t="inlineStr">
        <is>
          <t>AUSENTE</t>
        </is>
      </c>
      <c r="W137" s="17" t="inlineStr">
        <is>
          <t>NEGATIVO</t>
        </is>
      </c>
    </row>
    <row r="138" ht="15.75" customHeight="1" thickBot="1">
      <c r="A138">
        <f>_xlfn.CONCAT(B138,,","," ",C138)</f>
        <v/>
      </c>
      <c r="B138" t="inlineStr">
        <is>
          <t>Marín</t>
        </is>
      </c>
      <c r="C138" t="inlineStr">
        <is>
          <t>Varinia Lis</t>
        </is>
      </c>
      <c r="D138" t="inlineStr">
        <is>
          <t>LA PAMPA</t>
        </is>
      </c>
      <c r="E138" s="1" t="n">
        <v>46001</v>
      </c>
      <c r="F138" s="1" t="n">
        <v>47461</v>
      </c>
      <c r="G138" t="inlineStr">
        <is>
          <t>UNIÓN POR LA PATRIA</t>
        </is>
      </c>
      <c r="H138" s="12" t="inlineStr">
        <is>
          <t>LEGISLACION GENERAL | RELACIONES EXTERIORES Y CULTO | DE LAS PERSONAS MAYORES | DEFENSA NACIONAL | INTERESES MARITIMOS, FLUVIALES, PESQUEROS Y PORTUARIOS | POBLACION Y DESARROLLO HUMANO</t>
        </is>
      </c>
      <c r="I138" t="inlineStr">
        <is>
          <t>NEGATIVO</t>
        </is>
      </c>
      <c r="J138" s="17" t="inlineStr">
        <is>
          <t>NEGATIVO</t>
        </is>
      </c>
      <c r="L138" t="inlineStr">
        <is>
          <t>NEGATIVO</t>
        </is>
      </c>
      <c r="M138" s="9" t="inlineStr">
        <is>
          <t>NEGATIVO</t>
        </is>
      </c>
      <c r="N138" s="17" t="inlineStr">
        <is>
          <t>NEGATIVO</t>
        </is>
      </c>
      <c r="O138" t="inlineStr">
        <is>
          <t>AFIRMATIVO</t>
        </is>
      </c>
      <c r="Q138" t="inlineStr">
        <is>
          <t>NEGATIVO</t>
        </is>
      </c>
      <c r="S138" t="inlineStr">
        <is>
          <t>NEGATIVO</t>
        </is>
      </c>
      <c r="V138" s="17" t="inlineStr">
        <is>
          <t>NEGATIVO</t>
        </is>
      </c>
      <c r="W138" s="17" t="inlineStr">
        <is>
          <t>NEGATIVO</t>
        </is>
      </c>
    </row>
    <row r="139" ht="15.75" customHeight="1" thickBot="1">
      <c r="A139">
        <f>_xlfn.CONCAT(B139,,","," ",C139)</f>
        <v/>
      </c>
      <c r="B139" t="inlineStr">
        <is>
          <t>Marino</t>
        </is>
      </c>
      <c r="C139" t="inlineStr">
        <is>
          <t>Juan</t>
        </is>
      </c>
      <c r="D139" t="inlineStr">
        <is>
          <t>BUENOS AIRES</t>
        </is>
      </c>
      <c r="E139" s="1" t="n">
        <v>45270</v>
      </c>
      <c r="F139" s="1" t="n">
        <v>46730</v>
      </c>
      <c r="G139" t="inlineStr">
        <is>
          <t>UNIÓN POR LA PATRIA</t>
        </is>
      </c>
      <c r="H139" s="12" t="inlineStr">
        <is>
          <t>PREVISION Y SEGURIDAD SOCIAL | ACCION SOCIAL Y SALUD PUBLICA | LEGISLACION PENAL | JUICIO POLITICO | LIBERTAD DE EXPRESION | DISCAPACIDAD</t>
        </is>
      </c>
      <c r="I139" t="inlineStr">
        <is>
          <t>NEGATIVO</t>
        </is>
      </c>
      <c r="J139" s="17" t="inlineStr">
        <is>
          <t>NEGATIVO</t>
        </is>
      </c>
      <c r="L139" t="inlineStr">
        <is>
          <t>NEGATIVO</t>
        </is>
      </c>
      <c r="M139" s="9" t="inlineStr">
        <is>
          <t>NEGATIVO</t>
        </is>
      </c>
      <c r="N139" s="17" t="inlineStr">
        <is>
          <t>NEGATIVO</t>
        </is>
      </c>
      <c r="O139" t="inlineStr">
        <is>
          <t>NEGATIVO</t>
        </is>
      </c>
      <c r="Q139" t="inlineStr">
        <is>
          <t>NEGATIVO</t>
        </is>
      </c>
      <c r="S139" t="inlineStr">
        <is>
          <t>NEGATIVO</t>
        </is>
      </c>
      <c r="V139" s="17" t="inlineStr">
        <is>
          <t>NEGATIVO</t>
        </is>
      </c>
      <c r="W139" s="17" t="inlineStr">
        <is>
          <t>NEGATIVO</t>
        </is>
      </c>
    </row>
    <row r="140" ht="15.75" customHeight="1" thickBot="1">
      <c r="A140">
        <f>_xlfn.CONCAT(B140,,","," ",C140)</f>
        <v/>
      </c>
      <c r="B140" t="inlineStr">
        <is>
          <t>Martínez</t>
        </is>
      </c>
      <c r="C140" t="inlineStr">
        <is>
          <t>Álvaro</t>
        </is>
      </c>
      <c r="D140" t="inlineStr">
        <is>
          <t>MENDOZA</t>
        </is>
      </c>
      <c r="E140" s="1" t="n">
        <v>46001</v>
      </c>
      <c r="F140" s="1" t="n">
        <v>47461</v>
      </c>
      <c r="G140" t="inlineStr">
        <is>
          <t>LA LIBERTAD AVANZA</t>
        </is>
      </c>
      <c r="H140" s="12" t="inlineStr">
        <is>
          <t>PRESUPUESTO Y HACIENDA | JUSTICIA | LEGISLACION PENAL | PETICIONES, PODERES Y REGLAMENTO | MERCOSUR | SEGURIDAD INTERIOR</t>
        </is>
      </c>
      <c r="I140" t="inlineStr">
        <is>
          <t>AFIRMATIVO</t>
        </is>
      </c>
      <c r="J140" s="17" t="inlineStr">
        <is>
          <t>AFIRMATIVO</t>
        </is>
      </c>
      <c r="L140" t="inlineStr">
        <is>
          <t>AFIRMATIVO</t>
        </is>
      </c>
      <c r="M140" s="9" t="inlineStr">
        <is>
          <t>AFIRMATIVO</t>
        </is>
      </c>
      <c r="N140" s="17" t="inlineStr">
        <is>
          <t>AFIRMATIVO</t>
        </is>
      </c>
      <c r="O140" t="inlineStr">
        <is>
          <t>AFIRMATIVO</t>
        </is>
      </c>
      <c r="Q140" t="inlineStr">
        <is>
          <t>AFIRMATIVO</t>
        </is>
      </c>
      <c r="S140" t="inlineStr">
        <is>
          <t>AFIRMATIVO</t>
        </is>
      </c>
      <c r="V140" s="17" t="inlineStr">
        <is>
          <t>AFIRMATIVO</t>
        </is>
      </c>
      <c r="W140" s="17" t="inlineStr">
        <is>
          <t>AFIRMATIVO</t>
        </is>
      </c>
    </row>
    <row r="141" ht="15.75" customHeight="1" thickBot="1">
      <c r="A141">
        <f>_xlfn.CONCAT(B141,,","," ",C141)</f>
        <v/>
      </c>
      <c r="B141" t="inlineStr">
        <is>
          <t>Martínez</t>
        </is>
      </c>
      <c r="C141" t="inlineStr">
        <is>
          <t>Germán Pedro</t>
        </is>
      </c>
      <c r="D141" t="inlineStr">
        <is>
          <t>SANTA FE</t>
        </is>
      </c>
      <c r="E141" s="1" t="n">
        <v>45270</v>
      </c>
      <c r="F141" s="1" t="n">
        <v>46730</v>
      </c>
      <c r="G141" t="inlineStr">
        <is>
          <t>UNIÓN POR LA PATRIA</t>
        </is>
      </c>
      <c r="H141" s="12" t="inlineStr">
        <is>
          <t>DEFENSA NACIONAL | INDUSTRIA | PETICIONES, PODERES Y REGLAMENTO | PREVENCION DE ADICCIONES Y CONTROL DEL NARCOTRAFICO | ANALISIS Y SEGUIMIENTO DEL CUMPLIMIENTO DE NORMAS TRIBUTARIAS Y PREVISIONALES | LIBERTAD DE EXPRESION</t>
        </is>
      </c>
      <c r="I141" t="inlineStr">
        <is>
          <t>NEGATIVO</t>
        </is>
      </c>
      <c r="J141" s="17" t="inlineStr">
        <is>
          <t>NEGATIVO</t>
        </is>
      </c>
      <c r="L141" t="inlineStr">
        <is>
          <t>NEGATIVO</t>
        </is>
      </c>
      <c r="M141" s="9" t="inlineStr">
        <is>
          <t>NEGATIVO</t>
        </is>
      </c>
      <c r="N141" s="17" t="inlineStr">
        <is>
          <t>NEGATIVO</t>
        </is>
      </c>
      <c r="O141" t="inlineStr">
        <is>
          <t>AFIRMATIVO</t>
        </is>
      </c>
      <c r="Q141" t="inlineStr">
        <is>
          <t>NEGATIVO</t>
        </is>
      </c>
      <c r="S141" t="inlineStr">
        <is>
          <t>NEGATIVO</t>
        </is>
      </c>
      <c r="V141" s="17" t="inlineStr">
        <is>
          <t>NEGATIVO</t>
        </is>
      </c>
      <c r="W141" s="17" t="inlineStr">
        <is>
          <t>NEGATIVO</t>
        </is>
      </c>
    </row>
    <row r="142" ht="15.75" customHeight="1" thickBot="1">
      <c r="A142">
        <f>_xlfn.CONCAT(B142,,","," ",C142)</f>
        <v/>
      </c>
      <c r="B142" t="inlineStr">
        <is>
          <t>Massot</t>
        </is>
      </c>
      <c r="C142" t="inlineStr">
        <is>
          <t>Nicolás</t>
        </is>
      </c>
      <c r="D142" t="inlineStr">
        <is>
          <t>BUENOS AIRES</t>
        </is>
      </c>
      <c r="E142" s="1" t="n">
        <v>45270</v>
      </c>
      <c r="F142" s="1" t="n">
        <v>46730</v>
      </c>
      <c r="G142" t="inlineStr">
        <is>
          <t>ENCUENTRO FEDERAL</t>
        </is>
      </c>
      <c r="H142" s="12" t="inlineStr">
        <is>
          <t>PRESUPUESTO Y HACIENDA | FAMILIAS, NIÑEZ Y JUVENTUDES | FINANZAS | ECONOMIA | MINERIA</t>
        </is>
      </c>
      <c r="I142" t="inlineStr">
        <is>
          <t>NEGATIVO</t>
        </is>
      </c>
      <c r="J142" s="17" t="inlineStr">
        <is>
          <t>NEGATIVO</t>
        </is>
      </c>
      <c r="L142" t="inlineStr">
        <is>
          <t>NEGATIVO</t>
        </is>
      </c>
      <c r="M142" s="9" t="inlineStr">
        <is>
          <t>AFIRMATIVO</t>
        </is>
      </c>
      <c r="N142" s="17" t="inlineStr">
        <is>
          <t>AUSENTE</t>
        </is>
      </c>
      <c r="O142" t="inlineStr">
        <is>
          <t>AFIRMATIVO</t>
        </is>
      </c>
      <c r="Q142" t="inlineStr">
        <is>
          <t>ABSTENCION</t>
        </is>
      </c>
      <c r="S142" t="inlineStr">
        <is>
          <t>AFIRMATIVO</t>
        </is>
      </c>
      <c r="V142" s="17" t="inlineStr">
        <is>
          <t>AUSENTE</t>
        </is>
      </c>
      <c r="W142" s="17" t="inlineStr">
        <is>
          <t>AUSENTE</t>
        </is>
      </c>
    </row>
    <row r="143" ht="15.75" customHeight="1" thickBot="1">
      <c r="A143">
        <f>_xlfn.CONCAT(B143,,","," ",C143)</f>
        <v/>
      </c>
      <c r="B143" t="inlineStr">
        <is>
          <t>Maureira</t>
        </is>
      </c>
      <c r="C143" t="inlineStr">
        <is>
          <t>Karina</t>
        </is>
      </c>
      <c r="D143" t="inlineStr">
        <is>
          <t>NEUQUEN</t>
        </is>
      </c>
      <c r="E143" s="1" t="n">
        <v>46001</v>
      </c>
      <c r="F143" s="1" t="n">
        <v>47461</v>
      </c>
      <c r="G143" t="inlineStr">
        <is>
          <t>LA NEUQUINIDAD</t>
        </is>
      </c>
      <c r="H143" s="12" t="inlineStr">
        <is>
          <t>PREVENCION DE ADICCIONES Y CONTROL DEL NARCOTRAFICO | LIBERTAD DE EXPRESION | DISCAPACIDAD</t>
        </is>
      </c>
      <c r="I143" t="inlineStr">
        <is>
          <t>AFIRMATIVO</t>
        </is>
      </c>
      <c r="J143" s="17" t="inlineStr">
        <is>
          <t>AFIRMATIVO</t>
        </is>
      </c>
      <c r="L143" t="inlineStr">
        <is>
          <t>AFIRMATIVO</t>
        </is>
      </c>
      <c r="M143" s="9" t="inlineStr">
        <is>
          <t>ABSTENCIÓN</t>
        </is>
      </c>
      <c r="N143" s="17" t="inlineStr">
        <is>
          <t>AFIRMATIVO</t>
        </is>
      </c>
      <c r="O143" t="inlineStr">
        <is>
          <t>AFIRMATIVO</t>
        </is>
      </c>
      <c r="Q143" t="inlineStr">
        <is>
          <t>AFIRMATIVO</t>
        </is>
      </c>
      <c r="S143" t="inlineStr">
        <is>
          <t>AFIRMATIVO</t>
        </is>
      </c>
      <c r="V143" s="17" t="inlineStr">
        <is>
          <t>AFIRMATIVO</t>
        </is>
      </c>
      <c r="W143" s="17" t="inlineStr">
        <is>
          <t>AFIRMATIVO</t>
        </is>
      </c>
    </row>
    <row r="144" ht="15.75" customHeight="1" thickBot="1">
      <c r="A144">
        <f>_xlfn.CONCAT(B144,,","," ",C144)</f>
        <v/>
      </c>
      <c r="B144" t="inlineStr">
        <is>
          <t>Mayoraz</t>
        </is>
      </c>
      <c r="C144" t="inlineStr">
        <is>
          <t>Nicolás</t>
        </is>
      </c>
      <c r="D144" t="inlineStr">
        <is>
          <t>SANTA FE</t>
        </is>
      </c>
      <c r="E144" s="1" t="n">
        <v>45270</v>
      </c>
      <c r="F144" s="1" t="n">
        <v>46730</v>
      </c>
      <c r="G144" t="inlineStr">
        <is>
          <t>LA LIBERTAD AVANZA</t>
        </is>
      </c>
      <c r="H144" s="12" t="inlineStr">
        <is>
          <t>ASUNTOS CONSTITUCIONALES | RELACIONES EXTERIORES Y CULTO | PETICIONES, PODERES Y REGLAMENTO | JUICIO POLITICO</t>
        </is>
      </c>
      <c r="I144" t="inlineStr">
        <is>
          <t>AFIRMATIVO</t>
        </is>
      </c>
      <c r="J144" s="17" t="inlineStr">
        <is>
          <t>AFIRMATIVO</t>
        </is>
      </c>
      <c r="L144" t="inlineStr">
        <is>
          <t>AFIRMATIVO</t>
        </is>
      </c>
      <c r="M144" s="9" t="inlineStr">
        <is>
          <t>AFIRMATIVO</t>
        </is>
      </c>
      <c r="N144" s="17" t="inlineStr">
        <is>
          <t>AFIRMATIVO</t>
        </is>
      </c>
      <c r="O144" t="inlineStr">
        <is>
          <t>AFIRMATIVO</t>
        </is>
      </c>
      <c r="Q144" t="inlineStr">
        <is>
          <t>AFIRMATIVO</t>
        </is>
      </c>
      <c r="S144" t="inlineStr">
        <is>
          <t>AFIRMATIVO</t>
        </is>
      </c>
      <c r="V144" s="17" t="inlineStr">
        <is>
          <t>AFIRMATIVO</t>
        </is>
      </c>
      <c r="W144" s="17" t="inlineStr">
        <is>
          <t>AFIRMATIVO</t>
        </is>
      </c>
    </row>
    <row r="145" ht="15.75" customHeight="1" thickBot="1">
      <c r="A145">
        <f>_xlfn.CONCAT(B145,,","," ",C145)</f>
        <v/>
      </c>
      <c r="B145" t="inlineStr">
        <is>
          <t>Medina</t>
        </is>
      </c>
      <c r="C145" t="inlineStr">
        <is>
          <t>Gladys</t>
        </is>
      </c>
      <c r="D145" t="inlineStr">
        <is>
          <t>TUCUMAN</t>
        </is>
      </c>
      <c r="E145" s="1" t="n">
        <v>46001</v>
      </c>
      <c r="F145" s="1" t="n">
        <v>47461</v>
      </c>
      <c r="G145" t="inlineStr">
        <is>
          <t>INDEPENDENCIA</t>
        </is>
      </c>
      <c r="H145" s="12" t="inlineStr">
        <is>
          <t>LEGISLACION GENERAL | EDUCACION</t>
        </is>
      </c>
      <c r="I145" t="inlineStr">
        <is>
          <t>AFIRMATIVO</t>
        </is>
      </c>
      <c r="J145" s="17" t="inlineStr">
        <is>
          <t>AFIRMATIVO</t>
        </is>
      </c>
      <c r="L145" t="inlineStr">
        <is>
          <t>AFIRMATIVO</t>
        </is>
      </c>
      <c r="M145" s="9" t="inlineStr">
        <is>
          <t>AFIRMATIVO</t>
        </is>
      </c>
      <c r="N145" s="17" t="inlineStr">
        <is>
          <t>AFIRMATIVO</t>
        </is>
      </c>
      <c r="O145" t="inlineStr">
        <is>
          <t>AFIRMATIVO</t>
        </is>
      </c>
      <c r="Q145" t="inlineStr">
        <is>
          <t>AFIRMATIVO</t>
        </is>
      </c>
      <c r="S145" t="inlineStr">
        <is>
          <t>AFIRMATIVO</t>
        </is>
      </c>
      <c r="V145" s="17" t="inlineStr">
        <is>
          <t>AFIRMATIVO</t>
        </is>
      </c>
      <c r="W145" s="17" t="inlineStr">
        <is>
          <t>AFIRMATIVO</t>
        </is>
      </c>
    </row>
    <row r="146" ht="15.75" customHeight="1" thickBot="1">
      <c r="A146">
        <f>_xlfn.CONCAT(B146,,","," ",C146)</f>
        <v/>
      </c>
      <c r="B146" t="inlineStr">
        <is>
          <t>Menem</t>
        </is>
      </c>
      <c r="C146" t="inlineStr">
        <is>
          <t>Martín</t>
        </is>
      </c>
      <c r="D146" t="inlineStr">
        <is>
          <t>LA RIOJA</t>
        </is>
      </c>
      <c r="E146" s="1" t="n">
        <v>45270</v>
      </c>
      <c r="F146" s="1" t="n">
        <v>46730</v>
      </c>
      <c r="G146" t="inlineStr">
        <is>
          <t>LA LIBERTAD AVANZA</t>
        </is>
      </c>
      <c r="H146" s="12" t="inlineStr">
        <is>
          <t>ADMINISTRADORA DEL EDIFICIO DEL MOLINO - LEY 27009</t>
        </is>
      </c>
      <c r="I146" t="inlineStr">
        <is>
          <t>PRESIDENTE</t>
        </is>
      </c>
      <c r="J146" s="17" t="inlineStr">
        <is>
          <t>PRESIDENTE</t>
        </is>
      </c>
      <c r="L146" t="inlineStr">
        <is>
          <t>PRESIDENTE</t>
        </is>
      </c>
      <c r="M146" s="9" t="inlineStr">
        <is>
          <t>PRESIDENTE</t>
        </is>
      </c>
      <c r="N146" s="17" t="inlineStr">
        <is>
          <t>PRESIDENTE</t>
        </is>
      </c>
      <c r="O146" t="inlineStr">
        <is>
          <t>PRESIDENTE</t>
        </is>
      </c>
      <c r="Q146" t="inlineStr">
        <is>
          <t>PRESIDENTE</t>
        </is>
      </c>
      <c r="S146" t="inlineStr">
        <is>
          <t>PRESIDENTE</t>
        </is>
      </c>
      <c r="V146" s="17" t="inlineStr">
        <is>
          <t>AFIRMATIVO</t>
        </is>
      </c>
      <c r="W146" s="17" t="inlineStr">
        <is>
          <t>AFIRMATIVO</t>
        </is>
      </c>
    </row>
    <row r="147" ht="15.75" customHeight="1" thickBot="1">
      <c r="A147">
        <f>_xlfn.CONCAT(B147,,","," ",C147)</f>
        <v/>
      </c>
      <c r="B147" t="inlineStr">
        <is>
          <t>Metral Asensio</t>
        </is>
      </c>
      <c r="C147" t="inlineStr">
        <is>
          <t>Julieta</t>
        </is>
      </c>
      <c r="D147" t="inlineStr">
        <is>
          <t>MENDOZA</t>
        </is>
      </c>
      <c r="E147" s="1" t="n">
        <v>46001</v>
      </c>
      <c r="F147" s="1" t="n">
        <v>47461</v>
      </c>
      <c r="G147" t="inlineStr">
        <is>
          <t>LA LIBERTAD AVANZA</t>
        </is>
      </c>
      <c r="H147" s="10" t="inlineStr">
        <is>
          <t>PRESUPUESTO Y HACIENDA | CIENCIA, TECNOLOGIA E INNOVACION PRODUCTIVA | PREVISION Y SEGURIDAD SOCIAL | ACCION SOCIAL Y SALUD PUBLICA | FINANZAS | PETICIONES, PODERES Y REGLAMENTO | ASUNTOS COOPERATIVOS, MUTUALES Y ORGANIZACIONES NO GUBERNAMENTALES | DEFENSA DEL CONSUMIDOR, DEL USUARIO Y DE LA COMPETENCIA</t>
        </is>
      </c>
      <c r="I147" t="inlineStr">
        <is>
          <t>AFIRMATIVO</t>
        </is>
      </c>
      <c r="J147" s="17" t="inlineStr">
        <is>
          <t>AFIRMATIVO</t>
        </is>
      </c>
      <c r="L147" t="inlineStr">
        <is>
          <t>AFIRMATIVO</t>
        </is>
      </c>
      <c r="M147" s="9" t="inlineStr">
        <is>
          <t>AFIRMATIVO</t>
        </is>
      </c>
      <c r="N147" s="17" t="inlineStr">
        <is>
          <t>AFIRMATIVO</t>
        </is>
      </c>
      <c r="O147" t="inlineStr">
        <is>
          <t>AFIRMATIVO</t>
        </is>
      </c>
      <c r="Q147" t="inlineStr">
        <is>
          <t>AFIRMATIVO</t>
        </is>
      </c>
      <c r="S147" t="inlineStr">
        <is>
          <t>AFIRMATIVO</t>
        </is>
      </c>
      <c r="V147" s="17" t="inlineStr">
        <is>
          <t>PRESIDENTE</t>
        </is>
      </c>
      <c r="W147" s="17" t="inlineStr">
        <is>
          <t>PRESIDENTE</t>
        </is>
      </c>
    </row>
    <row r="148" ht="15.75" customHeight="1" thickBot="1">
      <c r="A148">
        <f>_xlfn.CONCAT(B148,,","," ",C148)</f>
        <v/>
      </c>
      <c r="B148" t="inlineStr">
        <is>
          <t>Michel</t>
        </is>
      </c>
      <c r="C148" t="inlineStr">
        <is>
          <t>Guillermo</t>
        </is>
      </c>
      <c r="D148" t="inlineStr">
        <is>
          <t>ENTRE RIOS</t>
        </is>
      </c>
      <c r="E148" s="1" t="n">
        <v>46001</v>
      </c>
      <c r="F148" s="1" t="n">
        <v>47461</v>
      </c>
      <c r="G148" t="inlineStr">
        <is>
          <t>UNIÓN POR LA PATRIA</t>
        </is>
      </c>
      <c r="H148" s="12" t="inlineStr">
        <is>
          <t>PRESUPUESTO Y HACIENDA</t>
        </is>
      </c>
      <c r="I148" t="inlineStr">
        <is>
          <t>NEGATIVO</t>
        </is>
      </c>
      <c r="J148" s="17" t="inlineStr">
        <is>
          <t>NEGATIVO</t>
        </is>
      </c>
      <c r="L148" t="inlineStr">
        <is>
          <t>NEGATIVO</t>
        </is>
      </c>
      <c r="M148" s="9" t="inlineStr">
        <is>
          <t>NEGATIVO</t>
        </is>
      </c>
      <c r="N148" s="17" t="inlineStr">
        <is>
          <t>NEGATIVO</t>
        </is>
      </c>
      <c r="O148" t="inlineStr">
        <is>
          <t>AFIRMATIVO</t>
        </is>
      </c>
      <c r="Q148" t="inlineStr">
        <is>
          <t>AUSENTE</t>
        </is>
      </c>
      <c r="S148" t="inlineStr">
        <is>
          <t>NEGATIVO</t>
        </is>
      </c>
      <c r="V148" s="17" t="inlineStr">
        <is>
          <t>AFIRMATIVO</t>
        </is>
      </c>
      <c r="W148" s="17" t="inlineStr">
        <is>
          <t>AFIRMATIVO</t>
        </is>
      </c>
    </row>
    <row r="149" ht="15.75" customHeight="1" thickBot="1">
      <c r="A149">
        <f>_xlfn.CONCAT(B149,,","," ",C149)</f>
        <v/>
      </c>
      <c r="B149" t="inlineStr">
        <is>
          <t>Miño</t>
        </is>
      </c>
      <c r="C149" t="inlineStr">
        <is>
          <t>Fernanda</t>
        </is>
      </c>
      <c r="D149" t="inlineStr">
        <is>
          <t>BUENOS AIRES</t>
        </is>
      </c>
      <c r="E149" s="1" t="n">
        <v>46001</v>
      </c>
      <c r="F149" s="1" t="n">
        <v>47461</v>
      </c>
      <c r="G149" t="inlineStr">
        <is>
          <t>UNIÓN POR LA PATRIA</t>
        </is>
      </c>
      <c r="H149" s="12" t="inlineStr">
        <is>
          <t>CULTURA | FAMILIAS, NIÑEZ Y JUVENTUDES | OBRAS PUBLICAS | VIVIENDA Y ORDENAMIENTO URBANO | PREVENCION DE ADICCIONES Y CONTROL DEL NARCOTRAFICO | POBLACION Y DESARROLLO HUMANO</t>
        </is>
      </c>
      <c r="I149" t="inlineStr">
        <is>
          <t>NEGATIVO</t>
        </is>
      </c>
      <c r="J149" s="17" t="inlineStr">
        <is>
          <t>NEGATIVO</t>
        </is>
      </c>
      <c r="L149" t="inlineStr">
        <is>
          <t>NEGATIVO</t>
        </is>
      </c>
      <c r="M149" s="9" t="inlineStr">
        <is>
          <t>NEGATIVO</t>
        </is>
      </c>
      <c r="N149" s="17" t="inlineStr">
        <is>
          <t>NEGATIVO</t>
        </is>
      </c>
      <c r="O149" t="inlineStr">
        <is>
          <t>NEGATIVO</t>
        </is>
      </c>
      <c r="Q149" t="inlineStr">
        <is>
          <t>NEGATIVO</t>
        </is>
      </c>
      <c r="S149" t="inlineStr">
        <is>
          <t>NEGATIVO</t>
        </is>
      </c>
      <c r="V149" s="17" t="inlineStr">
        <is>
          <t>NEGATIVO</t>
        </is>
      </c>
      <c r="W149" s="17" t="inlineStr">
        <is>
          <t>NEGATIVO</t>
        </is>
      </c>
    </row>
    <row r="150" ht="15.75" customHeight="1" thickBot="1">
      <c r="A150">
        <f>_xlfn.CONCAT(B150,,","," ",C150)</f>
        <v/>
      </c>
      <c r="B150" t="inlineStr">
        <is>
          <t>Molina</t>
        </is>
      </c>
      <c r="C150" t="inlineStr">
        <is>
          <t>Juan Carlos</t>
        </is>
      </c>
      <c r="D150" t="inlineStr">
        <is>
          <t>SANTA CRUZ</t>
        </is>
      </c>
      <c r="E150" s="1" t="n">
        <v>46001</v>
      </c>
      <c r="F150" s="1" t="n">
        <v>47461</v>
      </c>
      <c r="G150" t="inlineStr">
        <is>
          <t>UNIÓN POR LA PATRIA</t>
        </is>
      </c>
      <c r="H150" s="12" t="inlineStr">
        <is>
          <t>RELACIONES EXTERIORES Y CULTO | EDUCACION | FAMILIAS, NIÑEZ Y JUVENTUDES | LEGISLACION PENAL | COMUNICACIONES E INFORMATICA | MINERIA</t>
        </is>
      </c>
      <c r="I150" t="inlineStr">
        <is>
          <t>NEGATIVO</t>
        </is>
      </c>
      <c r="J150" s="17" t="inlineStr">
        <is>
          <t>NEGATIVO</t>
        </is>
      </c>
      <c r="L150" t="inlineStr">
        <is>
          <t>NEGATIVO</t>
        </is>
      </c>
      <c r="M150" s="9" t="inlineStr">
        <is>
          <t>NEGATIVO</t>
        </is>
      </c>
      <c r="N150" s="17" t="inlineStr">
        <is>
          <t>NEGATIVO</t>
        </is>
      </c>
      <c r="O150" t="inlineStr">
        <is>
          <t>NEGATIVO</t>
        </is>
      </c>
      <c r="Q150" t="inlineStr">
        <is>
          <t>NEGATIVO</t>
        </is>
      </c>
      <c r="S150" t="inlineStr">
        <is>
          <t>NEGATIVO</t>
        </is>
      </c>
      <c r="V150" s="17" t="inlineStr">
        <is>
          <t>NEGATIVO</t>
        </is>
      </c>
      <c r="W150" s="17" t="inlineStr">
        <is>
          <t>NEGATIVO</t>
        </is>
      </c>
    </row>
    <row r="151" ht="15.75" customHeight="1" thickBot="1">
      <c r="A151">
        <f>_xlfn.CONCAT(B151,,","," ",C151)</f>
        <v/>
      </c>
      <c r="B151" t="inlineStr">
        <is>
          <t>Molinuevo</t>
        </is>
      </c>
      <c r="C151" t="inlineStr">
        <is>
          <t>Soledad</t>
        </is>
      </c>
      <c r="D151" t="inlineStr">
        <is>
          <t>TUCUMAN</t>
        </is>
      </c>
      <c r="E151" s="1" t="n">
        <v>46001</v>
      </c>
      <c r="F151" s="1" t="n">
        <v>47461</v>
      </c>
      <c r="G151" t="inlineStr">
        <is>
          <t>LA LIBERTAD AVANZA</t>
        </is>
      </c>
      <c r="H151" s="10" t="inlineStr">
        <is>
          <t>PREVISION Y SEGURIDAD SOCIAL | VIVIENDA Y ORDENAMIENTO URBANO | RECURSOS NATURALES Y CONSERVACION DEL AMBIENTE HUMANO | ANALISIS Y SEGUIMIENTO DEL CUMPLIMIENTO DE NORMAS TRIBUTARIAS Y PREVISIONALES | POBLACION Y DESARROLLO HUMANO | DEPORTES | DERECHOS HUMANOS Y GARANTIAS</t>
        </is>
      </c>
      <c r="I151" t="inlineStr">
        <is>
          <t>AFIRMATIVO</t>
        </is>
      </c>
      <c r="J151" s="17" t="inlineStr">
        <is>
          <t>AFIRMATIVO</t>
        </is>
      </c>
      <c r="L151" t="inlineStr">
        <is>
          <t>AFIRMATIVO</t>
        </is>
      </c>
      <c r="M151" s="9" t="inlineStr">
        <is>
          <t>AFIRMATIVO</t>
        </is>
      </c>
      <c r="N151" s="17" t="inlineStr">
        <is>
          <t>AFIRMATIVO</t>
        </is>
      </c>
      <c r="O151" t="inlineStr">
        <is>
          <t>AFIRMATIVO</t>
        </is>
      </c>
      <c r="Q151" t="inlineStr">
        <is>
          <t>AFIRMATIVO</t>
        </is>
      </c>
      <c r="S151" t="inlineStr">
        <is>
          <t>AFIRMATIVO</t>
        </is>
      </c>
      <c r="V151" s="17" t="inlineStr">
        <is>
          <t>NEGATIVO</t>
        </is>
      </c>
      <c r="W151" s="17" t="inlineStr">
        <is>
          <t>NEGATIVO</t>
        </is>
      </c>
    </row>
    <row r="152" ht="15.75" customHeight="1" thickBot="1">
      <c r="A152">
        <f>_xlfn.CONCAT(B152,,","," ",C152)</f>
        <v/>
      </c>
      <c r="B152" t="inlineStr">
        <is>
          <t>Molle</t>
        </is>
      </c>
      <c r="C152" t="inlineStr">
        <is>
          <t>Matías</t>
        </is>
      </c>
      <c r="D152" t="inlineStr">
        <is>
          <t>BUENOS AIRES</t>
        </is>
      </c>
      <c r="E152" s="1" t="n">
        <v>45270</v>
      </c>
      <c r="F152" s="1" t="n">
        <v>46730</v>
      </c>
      <c r="G152" t="inlineStr">
        <is>
          <t>UNIÓN POR LA PATRIA</t>
        </is>
      </c>
      <c r="H152" s="12" t="inlineStr">
        <is>
          <t>RELACIONES EXTERIORES Y CULTO | LEGISLACION PENAL | DEFENSA NACIONAL | PREVENCION DE ADICCIONES Y CONTROL DEL NARCOTRAFICO | DERECHOS HUMANOS Y GARANTIAS | SEGURIDAD INTERIOR</t>
        </is>
      </c>
      <c r="I152" t="inlineStr">
        <is>
          <t>NEGATIVO</t>
        </is>
      </c>
      <c r="J152" s="17" t="inlineStr">
        <is>
          <t>NEGATIVO</t>
        </is>
      </c>
      <c r="L152" t="inlineStr">
        <is>
          <t>NEGATIVO</t>
        </is>
      </c>
      <c r="M152" s="9" t="inlineStr">
        <is>
          <t>NEGATIVO</t>
        </is>
      </c>
      <c r="N152" s="17" t="inlineStr">
        <is>
          <t>NEGATIVO</t>
        </is>
      </c>
      <c r="O152" t="inlineStr">
        <is>
          <t>NEGATIVO</t>
        </is>
      </c>
      <c r="Q152" t="inlineStr">
        <is>
          <t>NEGATIVO</t>
        </is>
      </c>
      <c r="S152" t="inlineStr">
        <is>
          <t>NEGATIVO</t>
        </is>
      </c>
      <c r="V152" s="17" t="inlineStr">
        <is>
          <t>AFIRMATIVO</t>
        </is>
      </c>
      <c r="W152" s="17" t="inlineStr">
        <is>
          <t>AFIRMATIVO</t>
        </is>
      </c>
    </row>
    <row r="153" ht="15.75" customHeight="1" thickBot="1">
      <c r="A153">
        <f>_xlfn.CONCAT(B153,,","," ",C153)</f>
        <v/>
      </c>
      <c r="B153" t="inlineStr">
        <is>
          <t>Mondaca</t>
        </is>
      </c>
      <c r="C153" t="inlineStr">
        <is>
          <t>Soledad</t>
        </is>
      </c>
      <c r="D153" t="inlineStr">
        <is>
          <t>NEUQUEN</t>
        </is>
      </c>
      <c r="E153" s="1" t="n">
        <v>46001</v>
      </c>
      <c r="F153" s="1" t="n">
        <v>47461</v>
      </c>
      <c r="G153" t="inlineStr">
        <is>
          <t>LA LIBERTAD AVANZA</t>
        </is>
      </c>
      <c r="H153" s="10" t="inlineStr">
        <is>
          <t>PREVISION Y SEGURIDAD SOCIAL | FAMILIAS, NIÑEZ Y JUVENTUDES | DE LAS PERSONAS MAYORES | INTERESES MARITIMOS, FLUVIALES, PESQUEROS Y PORTUARIOS | PREVENCION DE ADICCIONES Y CONTROL DEL NARCOTRAFICO | DEFENSA DEL CONSUMIDOR, DEL USUARIO Y DE LA COMPETENCIA | DISCAPACIDAD</t>
        </is>
      </c>
      <c r="I153" t="inlineStr">
        <is>
          <t>AFIRMATIVO</t>
        </is>
      </c>
      <c r="J153" s="17" t="inlineStr">
        <is>
          <t>AFIRMATIVO</t>
        </is>
      </c>
      <c r="L153" t="inlineStr">
        <is>
          <t>AFIRMATIVO</t>
        </is>
      </c>
      <c r="M153" s="9" t="inlineStr">
        <is>
          <t>AFIRMATIVO</t>
        </is>
      </c>
      <c r="N153" s="17" t="inlineStr">
        <is>
          <t>AFIRMATIVO</t>
        </is>
      </c>
      <c r="O153" t="inlineStr">
        <is>
          <t>AFIRMATIVO</t>
        </is>
      </c>
      <c r="Q153" t="inlineStr">
        <is>
          <t>AFIRMATIVO</t>
        </is>
      </c>
      <c r="S153" t="inlineStr">
        <is>
          <t>AFIRMATIVO</t>
        </is>
      </c>
      <c r="V153" s="17" t="inlineStr">
        <is>
          <t>NEGATIVO</t>
        </is>
      </c>
      <c r="W153" s="17" t="inlineStr">
        <is>
          <t>NEGATIVO</t>
        </is>
      </c>
    </row>
    <row r="154" ht="15.75" customHeight="1" thickBot="1">
      <c r="A154">
        <f>_xlfn.CONCAT(B154,,","," ",C154)</f>
        <v/>
      </c>
      <c r="B154" t="inlineStr">
        <is>
          <t>Monguillot</t>
        </is>
      </c>
      <c r="C154" t="inlineStr">
        <is>
          <t>Fernando</t>
        </is>
      </c>
      <c r="D154" t="inlineStr">
        <is>
          <t>CATAMARCA</t>
        </is>
      </c>
      <c r="E154" s="1" t="n">
        <v>46001</v>
      </c>
      <c r="F154" s="1" t="n">
        <v>47461</v>
      </c>
      <c r="G154" t="inlineStr">
        <is>
          <t>ELIJO CATAMARCA</t>
        </is>
      </c>
      <c r="H154" s="12" t="inlineStr">
        <is>
          <t>TURISMO | POBLACION Y DESARROLLO HUMANO | DEPORTES</t>
        </is>
      </c>
      <c r="I154" t="inlineStr">
        <is>
          <t>AFIRMATIVO</t>
        </is>
      </c>
      <c r="J154" s="17" t="inlineStr">
        <is>
          <t>AFIRMATIVO</t>
        </is>
      </c>
      <c r="L154" t="inlineStr">
        <is>
          <t>NEGATIVO</t>
        </is>
      </c>
      <c r="M154" s="9" t="inlineStr">
        <is>
          <t>AFIRMATIVO</t>
        </is>
      </c>
      <c r="N154" s="17" t="inlineStr">
        <is>
          <t>NEGATIVO</t>
        </is>
      </c>
      <c r="O154" t="inlineStr">
        <is>
          <t>AFIRMATIVO</t>
        </is>
      </c>
      <c r="Q154" t="inlineStr">
        <is>
          <t>AFIRMATIVO</t>
        </is>
      </c>
      <c r="S154" t="inlineStr">
        <is>
          <t>ABSTENCION</t>
        </is>
      </c>
      <c r="V154" s="17" t="inlineStr">
        <is>
          <t>AFIRMATIVO</t>
        </is>
      </c>
      <c r="W154" s="17" t="inlineStr">
        <is>
          <t>AFIRMATIVO</t>
        </is>
      </c>
    </row>
    <row r="155" ht="15.75" customHeight="1" thickBot="1">
      <c r="A155">
        <f>_xlfn.CONCAT(B155,,","," ",C155)</f>
        <v/>
      </c>
      <c r="B155" t="inlineStr">
        <is>
          <t>Montenegro</t>
        </is>
      </c>
      <c r="C155" t="inlineStr">
        <is>
          <t>Guillermo</t>
        </is>
      </c>
      <c r="D155" t="inlineStr">
        <is>
          <t>BUENOS AIRES</t>
        </is>
      </c>
      <c r="E155" s="1" t="n">
        <v>45270</v>
      </c>
      <c r="F155" s="1" t="n">
        <v>46730</v>
      </c>
      <c r="G155" t="inlineStr">
        <is>
          <t>LA LIBERTAD AVANZA</t>
        </is>
      </c>
      <c r="H155" s="12" t="inlineStr">
        <is>
          <t>JUSTICIA | LEGISLACION DEL TRABAJO | TRANSPORTES | ASUNTOS MUNICIPALES | PETICIONES, PODERES Y REGLAMENTO | RECURSOS NATURALES Y CONSERVACION DEL AMBIENTE HUMANO | TURISMO | MINERIA | LIBERTAD DE EXPRESION</t>
        </is>
      </c>
      <c r="I155" t="inlineStr">
        <is>
          <t>AFIRMATIVO</t>
        </is>
      </c>
      <c r="J155" s="17" t="inlineStr">
        <is>
          <t>AFIRMATIVO</t>
        </is>
      </c>
      <c r="L155" t="inlineStr">
        <is>
          <t>AFIRMATIVO</t>
        </is>
      </c>
      <c r="M155" s="9" t="inlineStr">
        <is>
          <t>AFIRMATIVO</t>
        </is>
      </c>
      <c r="N155" s="17" t="inlineStr">
        <is>
          <t>AFIRMATIVO</t>
        </is>
      </c>
      <c r="O155" t="inlineStr">
        <is>
          <t>AFIRMATIVO</t>
        </is>
      </c>
      <c r="Q155" t="inlineStr">
        <is>
          <t>AFIRMATIVO</t>
        </is>
      </c>
      <c r="S155" t="inlineStr">
        <is>
          <t>AFIRMATIVO</t>
        </is>
      </c>
      <c r="V155" s="17" t="inlineStr">
        <is>
          <t>ABSTENCION</t>
        </is>
      </c>
      <c r="W155" s="17" t="inlineStr">
        <is>
          <t>NEGATIVO</t>
        </is>
      </c>
    </row>
    <row r="156" ht="15.75" customHeight="1" thickBot="1">
      <c r="A156">
        <f>_xlfn.CONCAT(B156,,","," ",C156)</f>
        <v/>
      </c>
      <c r="B156" t="inlineStr">
        <is>
          <t>Montenegro</t>
        </is>
      </c>
      <c r="C156" t="inlineStr">
        <is>
          <t>Juan Pablo</t>
        </is>
      </c>
      <c r="D156" t="inlineStr">
        <is>
          <t>SANTA FE</t>
        </is>
      </c>
      <c r="E156" s="1" t="n">
        <v>46001</v>
      </c>
      <c r="F156" s="1" t="n">
        <v>47461</v>
      </c>
      <c r="G156" t="inlineStr">
        <is>
          <t>LA LIBERTAD AVANZA</t>
        </is>
      </c>
      <c r="H156" s="12" t="inlineStr">
        <is>
          <t>LEGISLACION PENAL | INTERESES MARITIMOS, FLUVIALES, PESQUEROS Y PORTUARIOS | PREVENCION DE ADICCIONES Y CONTROL DEL NARCOTRAFICO | DEFENSA DEL CONSUMIDOR, DEL USUARIO Y DE LA COMPETENCIA | SEGURIDAD INTERIOR</t>
        </is>
      </c>
      <c r="I156" t="inlineStr">
        <is>
          <t>AFIRMATIVO</t>
        </is>
      </c>
      <c r="J156" s="17" t="inlineStr">
        <is>
          <t>AFIRMATIVO</t>
        </is>
      </c>
      <c r="L156" t="inlineStr">
        <is>
          <t>AFIRMATIVO</t>
        </is>
      </c>
      <c r="M156" s="9" t="inlineStr">
        <is>
          <t>AFIRMATIVO</t>
        </is>
      </c>
      <c r="N156" s="17" t="inlineStr">
        <is>
          <t>AFIRMATIVO</t>
        </is>
      </c>
      <c r="O156" t="inlineStr">
        <is>
          <t>AFIRMATIVO</t>
        </is>
      </c>
      <c r="Q156" t="inlineStr">
        <is>
          <t>AFIRMATIVO</t>
        </is>
      </c>
      <c r="S156" t="inlineStr">
        <is>
          <t>AFIRMATIVO</t>
        </is>
      </c>
      <c r="V156" s="17" t="inlineStr">
        <is>
          <t>AFIRMATIVO</t>
        </is>
      </c>
      <c r="W156" s="17" t="inlineStr">
        <is>
          <t>AFIRMATIVO</t>
        </is>
      </c>
    </row>
    <row r="157" ht="15.75" customHeight="1" thickBot="1">
      <c r="A157">
        <f>_xlfn.CONCAT(B157,,","," ",C157)</f>
        <v/>
      </c>
      <c r="B157" t="inlineStr">
        <is>
          <t>Monzón</t>
        </is>
      </c>
      <c r="C157" t="inlineStr">
        <is>
          <t>Roxana</t>
        </is>
      </c>
      <c r="D157" t="inlineStr">
        <is>
          <t>BUENOS AIRES</t>
        </is>
      </c>
      <c r="E157" s="1" t="n">
        <v>45270</v>
      </c>
      <c r="F157" s="1" t="n">
        <v>46730</v>
      </c>
      <c r="G157" t="inlineStr">
        <is>
          <t>UNIÓN POR LA PATRIA</t>
        </is>
      </c>
      <c r="H157" s="12" t="inlineStr">
        <is>
          <t>RELACIONES EXTERIORES Y CULTO | EDUCACION | INDUSTRIA | COMERCIO | ECONOMIAS Y DESARROLLO REGIONAL | PEQUEÑAS Y MEDIANAS EMPRESAS</t>
        </is>
      </c>
      <c r="I157" t="inlineStr">
        <is>
          <t>NEGATIVO</t>
        </is>
      </c>
      <c r="J157" s="17" t="inlineStr">
        <is>
          <t>NEGATIVO</t>
        </is>
      </c>
      <c r="L157" t="inlineStr">
        <is>
          <t>NEGATIVO</t>
        </is>
      </c>
      <c r="M157" s="9" t="inlineStr">
        <is>
          <t>NEGATIVO</t>
        </is>
      </c>
      <c r="N157" s="17" t="inlineStr">
        <is>
          <t>AUSENTE</t>
        </is>
      </c>
      <c r="O157" t="inlineStr">
        <is>
          <t>AUSENTE</t>
        </is>
      </c>
      <c r="Q157" t="inlineStr">
        <is>
          <t>NEGATIVO</t>
        </is>
      </c>
      <c r="S157" t="inlineStr">
        <is>
          <t>NEGATIVO</t>
        </is>
      </c>
      <c r="V157" s="17" t="inlineStr">
        <is>
          <t>AFIRMATIVO</t>
        </is>
      </c>
      <c r="W157" s="17" t="inlineStr">
        <is>
          <t>AFIRMATIVO</t>
        </is>
      </c>
    </row>
    <row r="158" ht="15.75" customHeight="1" thickBot="1">
      <c r="A158">
        <f>_xlfn.CONCAT(B158,,","," ",C158)</f>
        <v/>
      </c>
      <c r="B158" t="inlineStr">
        <is>
          <t>Morchio</t>
        </is>
      </c>
      <c r="C158" t="inlineStr">
        <is>
          <t>Francisco</t>
        </is>
      </c>
      <c r="D158" t="inlineStr">
        <is>
          <t>ENTRE RIOS</t>
        </is>
      </c>
      <c r="E158" s="1" t="n">
        <v>45270</v>
      </c>
      <c r="F158" s="1" t="n">
        <v>46730</v>
      </c>
      <c r="G158" t="inlineStr">
        <is>
          <t>LA LIBERTAD AVANZA</t>
        </is>
      </c>
      <c r="H158" s="12" t="inlineStr">
        <is>
          <t>PRESUPUESTO Y HACIENDA | OBRAS PUBLICAS | AGRICULTURA Y GANADERIA | RECURSOS NATURALES Y CONSERVACION DEL AMBIENTE HUMANO</t>
        </is>
      </c>
      <c r="I158" t="inlineStr">
        <is>
          <t>AFIRMATIVO</t>
        </is>
      </c>
      <c r="J158" s="17" t="inlineStr">
        <is>
          <t>AFIRMATIVO</t>
        </is>
      </c>
      <c r="L158" t="inlineStr">
        <is>
          <t>AFIRMATIVO</t>
        </is>
      </c>
      <c r="M158" s="9" t="inlineStr">
        <is>
          <t>AFIRMATIVO</t>
        </is>
      </c>
      <c r="N158" s="17" t="inlineStr">
        <is>
          <t>AFIRMATIVO</t>
        </is>
      </c>
      <c r="O158" t="inlineStr">
        <is>
          <t>AFIRMATIVO</t>
        </is>
      </c>
      <c r="Q158" t="inlineStr">
        <is>
          <t>AFIRMATIVO</t>
        </is>
      </c>
      <c r="S158" t="inlineStr">
        <is>
          <t>AFIRMATIVO</t>
        </is>
      </c>
      <c r="V158" s="17" t="inlineStr">
        <is>
          <t>NEGATIVO</t>
        </is>
      </c>
      <c r="W158" s="17" t="inlineStr">
        <is>
          <t>NEGATIVO</t>
        </is>
      </c>
    </row>
    <row r="159" ht="15.75" customHeight="1" thickBot="1">
      <c r="A159">
        <f>_xlfn.CONCAT(B159,,","," ",C159)</f>
        <v/>
      </c>
      <c r="B159" t="inlineStr">
        <is>
          <t>Moreau</t>
        </is>
      </c>
      <c r="C159" t="inlineStr">
        <is>
          <t>Cecilia</t>
        </is>
      </c>
      <c r="D159" t="inlineStr">
        <is>
          <t>BUENOS AIRES</t>
        </is>
      </c>
      <c r="E159" s="1" t="n">
        <v>45270</v>
      </c>
      <c r="F159" s="1" t="n">
        <v>46730</v>
      </c>
      <c r="G159" t="inlineStr">
        <is>
          <t>UNIÓN POR LA PATRIA</t>
        </is>
      </c>
      <c r="H159" s="12" t="inlineStr">
        <is>
          <t>PETICIONES, PODERES Y REGLAMENTO | JUICIO POLITICO | RECURSOS NATURALES Y CONSERVACION DEL AMBIENTE HUMANO</t>
        </is>
      </c>
      <c r="I159" t="inlineStr">
        <is>
          <t>NEGATIVO</t>
        </is>
      </c>
      <c r="J159" s="17" t="inlineStr">
        <is>
          <t>NEGATIVO</t>
        </is>
      </c>
      <c r="L159" t="inlineStr">
        <is>
          <t>NEGATIVO</t>
        </is>
      </c>
      <c r="M159" s="9" t="inlineStr">
        <is>
          <t>NEGATIVO</t>
        </is>
      </c>
      <c r="N159" s="17" t="inlineStr">
        <is>
          <t>NEGATIVO</t>
        </is>
      </c>
      <c r="O159" t="inlineStr">
        <is>
          <t>AFIRMATIVO</t>
        </is>
      </c>
      <c r="Q159" t="inlineStr">
        <is>
          <t>NEGATIVO</t>
        </is>
      </c>
      <c r="S159" t="inlineStr">
        <is>
          <t>NEGATIVO</t>
        </is>
      </c>
      <c r="V159" s="17" t="inlineStr">
        <is>
          <t>AFIRMATIVO</t>
        </is>
      </c>
      <c r="W159" s="17" t="inlineStr">
        <is>
          <t>AFIRMATIVO</t>
        </is>
      </c>
    </row>
    <row r="160" ht="15.75" customHeight="1" thickBot="1">
      <c r="A160">
        <f>_xlfn.CONCAT(B160,,","," ",C160)</f>
        <v/>
      </c>
      <c r="B160" t="inlineStr">
        <is>
          <t>Moreno Ovalle</t>
        </is>
      </c>
      <c r="C160" t="inlineStr">
        <is>
          <t>Julio</t>
        </is>
      </c>
      <c r="D160" t="inlineStr">
        <is>
          <t>SALTA</t>
        </is>
      </c>
      <c r="E160" s="1" t="n">
        <v>45270</v>
      </c>
      <c r="F160" s="1" t="n">
        <v>46730</v>
      </c>
      <c r="G160" t="inlineStr">
        <is>
          <t>LA LIBERTAD AVANZA</t>
        </is>
      </c>
      <c r="H160" s="12" t="inlineStr">
        <is>
          <t>PRESUPUESTO Y HACIENDA | INDUSTRIA | ECONOMIAS Y DESARROLLO REGIONAL | TURISMO | MINERIA | ANALISIS Y SEGUIMIENTO DEL CUMPLIMIENTO DE NORMAS TRIBUTARIAS Y PREVISIONALES | PEQUEÑAS Y MEDIANAS EMPRESAS</t>
        </is>
      </c>
      <c r="I160" t="inlineStr">
        <is>
          <t>AFIRMATIVO</t>
        </is>
      </c>
      <c r="J160" s="17" t="inlineStr">
        <is>
          <t>AFIRMATIVO</t>
        </is>
      </c>
      <c r="L160" t="inlineStr">
        <is>
          <t>AFIRMATIVO</t>
        </is>
      </c>
      <c r="M160" s="9" t="inlineStr">
        <is>
          <t>AFIRMATIVO</t>
        </is>
      </c>
      <c r="N160" s="17" t="inlineStr">
        <is>
          <t>AFIRMATIVO</t>
        </is>
      </c>
      <c r="O160" t="inlineStr">
        <is>
          <t>AFIRMATIVO</t>
        </is>
      </c>
      <c r="Q160" t="inlineStr">
        <is>
          <t>AFIRMATIVO</t>
        </is>
      </c>
      <c r="S160" t="inlineStr">
        <is>
          <t>AFIRMATIVO</t>
        </is>
      </c>
      <c r="V160" s="17" t="inlineStr">
        <is>
          <t>NEGATIVO</t>
        </is>
      </c>
      <c r="W160" s="17" t="inlineStr">
        <is>
          <t>NEGATIVO</t>
        </is>
      </c>
    </row>
    <row r="161" ht="15.75" customHeight="1" thickBot="1">
      <c r="A161">
        <f>_xlfn.CONCAT(B161,,","," ",C161)</f>
        <v/>
      </c>
      <c r="B161" t="inlineStr">
        <is>
          <t>Moyano</t>
        </is>
      </c>
      <c r="C161" t="inlineStr">
        <is>
          <t>Hugo Antonio</t>
        </is>
      </c>
      <c r="D161" t="inlineStr">
        <is>
          <t>BUENOS AIRES</t>
        </is>
      </c>
      <c r="E161" s="1" t="n">
        <v>46001</v>
      </c>
      <c r="F161" s="1" t="n">
        <v>47461</v>
      </c>
      <c r="G161" t="inlineStr">
        <is>
          <t>UNIÓN POR LA PATRIA</t>
        </is>
      </c>
      <c r="H161" s="12" t="inlineStr">
        <is>
          <t>PREVISION Y SEGURIDAD SOCIAL | LEGISLACION DEL TRABAJO | TRANSPORTES | MINERIA | ASUNTOS COOPERATIVOS, MUTUALES Y ORGANIZACIONES NO GUBERNAMENTALES | PEQUEÑAS Y MEDIANAS EMPRESAS</t>
        </is>
      </c>
      <c r="I161" t="inlineStr">
        <is>
          <t>NEGATIVO</t>
        </is>
      </c>
      <c r="J161" s="17" t="inlineStr">
        <is>
          <t>NEGATIVO</t>
        </is>
      </c>
      <c r="L161" t="inlineStr">
        <is>
          <t>NEGATIVO</t>
        </is>
      </c>
      <c r="M161" s="9" t="inlineStr">
        <is>
          <t>NEGATIVO</t>
        </is>
      </c>
      <c r="N161" s="17" t="inlineStr">
        <is>
          <t>NEGATIVO</t>
        </is>
      </c>
      <c r="O161" t="inlineStr">
        <is>
          <t>NEGATIVO</t>
        </is>
      </c>
      <c r="Q161" t="inlineStr">
        <is>
          <t>NEGATIVO</t>
        </is>
      </c>
      <c r="S161" t="inlineStr">
        <is>
          <t>NEGATIVO</t>
        </is>
      </c>
      <c r="V161" s="17" t="inlineStr">
        <is>
          <t>AFIRMATIVO</t>
        </is>
      </c>
      <c r="W161" s="17" t="inlineStr">
        <is>
          <t>AFIRMATIVO</t>
        </is>
      </c>
    </row>
    <row r="162" ht="15.75" customHeight="1" thickBot="1">
      <c r="A162">
        <f>_xlfn.CONCAT(B162,,","," ",C162)</f>
        <v/>
      </c>
      <c r="B162" t="inlineStr">
        <is>
          <t>Mukdise</t>
        </is>
      </c>
      <c r="C162" t="inlineStr">
        <is>
          <t>Jorge</t>
        </is>
      </c>
      <c r="D162" t="inlineStr">
        <is>
          <t>SANTIAGO DEL ESTERO</t>
        </is>
      </c>
      <c r="E162" s="1" t="n">
        <v>46001</v>
      </c>
      <c r="F162" s="1" t="n">
        <v>47461</v>
      </c>
      <c r="G162" t="inlineStr">
        <is>
          <t>UNIÓN POR LA PATRIA</t>
        </is>
      </c>
      <c r="H162" s="12" t="inlineStr">
        <is>
          <t>PRESUPUESTO Y HACIENDA | COMERCIO | ENERGIA Y COMBUSTIBLES | TURISMO | ANALISIS Y SEGUIMIENTO DEL CUMPLIMIENTO DE NORMAS TRIBUTARIAS Y PREVISIONALES | DEPORTES</t>
        </is>
      </c>
      <c r="I162" t="inlineStr">
        <is>
          <t>NEGATIVO</t>
        </is>
      </c>
      <c r="J162" s="17" t="inlineStr">
        <is>
          <t>NEGATIVO</t>
        </is>
      </c>
      <c r="L162" t="inlineStr">
        <is>
          <t>NEGATIVO</t>
        </is>
      </c>
      <c r="M162" s="9" t="inlineStr">
        <is>
          <t>NEGATIVO</t>
        </is>
      </c>
      <c r="N162" s="17" t="inlineStr">
        <is>
          <t>NEGATIVO</t>
        </is>
      </c>
      <c r="O162" t="inlineStr">
        <is>
          <t>AFIRMATIVO</t>
        </is>
      </c>
      <c r="Q162" t="inlineStr">
        <is>
          <t>NEGATIVO</t>
        </is>
      </c>
      <c r="S162" t="inlineStr">
        <is>
          <t>NEGATIVO</t>
        </is>
      </c>
      <c r="V162" s="17" t="inlineStr">
        <is>
          <t>NEGATIVO</t>
        </is>
      </c>
      <c r="W162" s="17" t="inlineStr">
        <is>
          <t>NEGATIVO</t>
        </is>
      </c>
    </row>
    <row r="163" ht="15.75" customHeight="1" thickBot="1">
      <c r="A163">
        <f>_xlfn.CONCAT(B163,,","," ",C163)</f>
        <v/>
      </c>
      <c r="B163" t="inlineStr">
        <is>
          <t>Muñoz</t>
        </is>
      </c>
      <c r="C163" t="inlineStr">
        <is>
          <t>Gabriela Luciana</t>
        </is>
      </c>
      <c r="D163" t="inlineStr">
        <is>
          <t>NEUQUEN</t>
        </is>
      </c>
      <c r="E163" s="1" t="n">
        <v>46001</v>
      </c>
      <c r="F163" s="1" t="n">
        <v>46730</v>
      </c>
      <c r="G163" t="inlineStr">
        <is>
          <t>LA LIBERTAD AVANZA</t>
        </is>
      </c>
      <c r="H163" s="12" t="inlineStr">
        <is>
          <t>PREVISION Y SEGURIDAD SOCIAL | ACCION SOCIAL Y SALUD PUBLICA | FAMILIAS, NIÑEZ Y JUVENTUDES | DE LAS PERSONAS MAYORES | RECURSOS NATURALES Y CONSERVACION DEL AMBIENTE HUMANO | ECONOMIA</t>
        </is>
      </c>
      <c r="I163" t="inlineStr">
        <is>
          <t>AFIRMATIVO</t>
        </is>
      </c>
      <c r="J163" s="17" t="inlineStr">
        <is>
          <t>AFIRMATIVO</t>
        </is>
      </c>
      <c r="L163" t="inlineStr">
        <is>
          <t>AFIRMATIVO</t>
        </is>
      </c>
      <c r="M163" s="9" t="inlineStr">
        <is>
          <t>AFIRMATIVO</t>
        </is>
      </c>
      <c r="N163" s="17" t="inlineStr">
        <is>
          <t>AFIRMATIVO</t>
        </is>
      </c>
      <c r="O163" t="inlineStr">
        <is>
          <t>AFIRMATIVO</t>
        </is>
      </c>
      <c r="Q163" t="inlineStr">
        <is>
          <t>AFIRMATIVO</t>
        </is>
      </c>
      <c r="S163" t="inlineStr">
        <is>
          <t>AFIRMATIVO</t>
        </is>
      </c>
      <c r="V163" s="17" t="inlineStr">
        <is>
          <t>NEGATIVO</t>
        </is>
      </c>
      <c r="W163" s="17" t="inlineStr">
        <is>
          <t>NEGATIVO</t>
        </is>
      </c>
    </row>
    <row r="164" ht="15.75" customHeight="1" thickBot="1">
      <c r="A164">
        <f>_xlfn.CONCAT(B164,,","," ",C164)</f>
        <v/>
      </c>
      <c r="B164" t="inlineStr">
        <is>
          <t>Neder</t>
        </is>
      </c>
      <c r="C164" t="inlineStr">
        <is>
          <t>Estela Mary</t>
        </is>
      </c>
      <c r="D164" t="inlineStr">
        <is>
          <t>SANTIAGO DEL ESTERO</t>
        </is>
      </c>
      <c r="E164" s="1" t="n">
        <v>45270</v>
      </c>
      <c r="F164" s="1" t="n">
        <v>46730</v>
      </c>
      <c r="G164" t="inlineStr">
        <is>
          <t>UNIÓN POR LA PATRIA</t>
        </is>
      </c>
      <c r="H164" s="12" t="inlineStr">
        <is>
          <t>ACCION SOCIAL Y SALUD PUBLICA | DE LAS PERSONAS MAYORES | OBRAS PUBLICAS | DISCAPACIDAD</t>
        </is>
      </c>
      <c r="I164" t="inlineStr">
        <is>
          <t>NEGATIVO</t>
        </is>
      </c>
      <c r="J164" s="17" t="inlineStr">
        <is>
          <t>NEGATIVO</t>
        </is>
      </c>
      <c r="L164" t="inlineStr">
        <is>
          <t>NEGATIVO</t>
        </is>
      </c>
      <c r="M164" s="9" t="inlineStr">
        <is>
          <t>NEGATIVO</t>
        </is>
      </c>
      <c r="N164" s="17" t="inlineStr">
        <is>
          <t>NEGATIVO</t>
        </is>
      </c>
      <c r="O164" t="inlineStr">
        <is>
          <t>AFIRMATIVO</t>
        </is>
      </c>
      <c r="Q164" t="inlineStr">
        <is>
          <t>NEGATIVO</t>
        </is>
      </c>
      <c r="S164" t="inlineStr">
        <is>
          <t>NEGATIVO</t>
        </is>
      </c>
      <c r="V164" s="17" t="inlineStr">
        <is>
          <t>AFIRMATIVO</t>
        </is>
      </c>
      <c r="W164" s="17" t="inlineStr">
        <is>
          <t>AFIRMATIVO</t>
        </is>
      </c>
    </row>
    <row r="165" ht="15.75" customHeight="1" thickBot="1">
      <c r="A165">
        <f>_xlfn.CONCAT(B165,,","," ",C165)</f>
        <v/>
      </c>
      <c r="B165" t="inlineStr">
        <is>
          <t>Nieri</t>
        </is>
      </c>
      <c r="C165" t="inlineStr">
        <is>
          <t>Lisandro</t>
        </is>
      </c>
      <c r="D165" t="inlineStr">
        <is>
          <t>MENDOZA</t>
        </is>
      </c>
      <c r="E165" s="1" t="n">
        <v>45270</v>
      </c>
      <c r="F165" s="1" t="n">
        <v>46730</v>
      </c>
      <c r="G165" t="inlineStr">
        <is>
          <t>UCR - UNIÓN CÍVICA RADICAL</t>
        </is>
      </c>
      <c r="H165" s="10" t="inlineStr">
        <is>
          <t>PRESUPUESTO Y HACIENDA | COMERCIO | MINERIA | ANALISIS Y SEGUIMIENTO DEL CUMPLIMIENTO DE NORMAS TRIBUTARIAS Y PREVISIONALES | ASUNTOS COOPERATIVOS, MUTUALES Y ORGANIZACIONES NO GUBERNAMENTALES | DEFENSA DEL CONSUMIDOR, DEL USUARIO Y DE LA COMPETENCIA | SEGURIDAD INTERIOR</t>
        </is>
      </c>
      <c r="I165" t="inlineStr">
        <is>
          <t>AFIRMATIVO</t>
        </is>
      </c>
      <c r="J165" s="17" t="inlineStr">
        <is>
          <t>AFIRMATIVO</t>
        </is>
      </c>
      <c r="L165" t="inlineStr">
        <is>
          <t>AFIRMATIVO</t>
        </is>
      </c>
      <c r="M165" s="9" t="inlineStr">
        <is>
          <t>AFIRMATIVO</t>
        </is>
      </c>
      <c r="N165" s="17" t="inlineStr">
        <is>
          <t>AFIRMATIVO</t>
        </is>
      </c>
      <c r="O165" t="inlineStr">
        <is>
          <t>AFIRMATIVO</t>
        </is>
      </c>
      <c r="Q165" t="inlineStr">
        <is>
          <t>AFIRMATIVO</t>
        </is>
      </c>
      <c r="S165" t="inlineStr">
        <is>
          <t>AFIRMATIVO</t>
        </is>
      </c>
      <c r="V165" s="17" t="inlineStr">
        <is>
          <t>NEGATIVO</t>
        </is>
      </c>
      <c r="W165" s="17" t="inlineStr">
        <is>
          <t>NEGATIVO</t>
        </is>
      </c>
    </row>
    <row r="166" ht="15.75" customHeight="1" thickBot="1">
      <c r="A166">
        <f>_xlfn.CONCAT(B166,,","," ",C166)</f>
        <v/>
      </c>
      <c r="B166" t="inlineStr">
        <is>
          <t>Niveyro</t>
        </is>
      </c>
      <c r="C166" t="inlineStr">
        <is>
          <t>Miriam</t>
        </is>
      </c>
      <c r="D166" t="inlineStr">
        <is>
          <t>BUENOS AIRES</t>
        </is>
      </c>
      <c r="E166" s="1" t="n">
        <v>46001</v>
      </c>
      <c r="F166" s="1" t="n">
        <v>47461</v>
      </c>
      <c r="G166" t="inlineStr">
        <is>
          <t>LA LIBERTAD AVANZA</t>
        </is>
      </c>
      <c r="H166" s="12" t="inlineStr">
        <is>
          <t>EDUCACION | FAMILIAS, NIÑEZ Y JUVENTUDES | DE LAS PERSONAS MAYORES | POBLACION Y DESARROLLO HUMANO | MERCOSUR | DISCAPACIDAD | MUJERES Y DIVERSIDAD</t>
        </is>
      </c>
      <c r="I166" t="inlineStr">
        <is>
          <t>AFIRMATIVO</t>
        </is>
      </c>
      <c r="J166" s="17" t="inlineStr">
        <is>
          <t>AFIRMATIVO</t>
        </is>
      </c>
      <c r="L166" t="inlineStr">
        <is>
          <t>AFIRMATIVO</t>
        </is>
      </c>
      <c r="M166" s="9" t="inlineStr">
        <is>
          <t>AFIRMATIVO</t>
        </is>
      </c>
      <c r="N166" s="17" t="inlineStr">
        <is>
          <t>AFIRMATIVO</t>
        </is>
      </c>
      <c r="O166" t="inlineStr">
        <is>
          <t>AFIRMATIVO</t>
        </is>
      </c>
      <c r="Q166" t="inlineStr">
        <is>
          <t>AFIRMATIVO</t>
        </is>
      </c>
      <c r="S166" t="inlineStr">
        <is>
          <t>AFIRMATIVO</t>
        </is>
      </c>
      <c r="V166" s="17" t="inlineStr">
        <is>
          <t>AFIRMATIVO</t>
        </is>
      </c>
      <c r="W166" s="17" t="inlineStr">
        <is>
          <t>AFIRMATIVO</t>
        </is>
      </c>
    </row>
    <row r="167" ht="15.75" customHeight="1" thickBot="1">
      <c r="A167">
        <f>_xlfn.CONCAT(B167,,","," ",C167)</f>
        <v/>
      </c>
      <c r="B167" t="inlineStr">
        <is>
          <t>Nóblega</t>
        </is>
      </c>
      <c r="C167" t="inlineStr">
        <is>
          <t>Sebastián</t>
        </is>
      </c>
      <c r="D167" t="inlineStr">
        <is>
          <t>CATAMARCA</t>
        </is>
      </c>
      <c r="E167" s="1" t="n">
        <v>45270</v>
      </c>
      <c r="F167" s="1" t="n">
        <v>46730</v>
      </c>
      <c r="G167" t="inlineStr">
        <is>
          <t>ELIJO CATAMARCA</t>
        </is>
      </c>
      <c r="H167" s="12" t="inlineStr">
        <is>
          <t>PRESUPUESTO Y HACIENDA | OBRAS PUBLICAS</t>
        </is>
      </c>
      <c r="I167" t="inlineStr">
        <is>
          <t>AFIRMATIVO</t>
        </is>
      </c>
      <c r="J167" s="17" t="inlineStr">
        <is>
          <t>AFIRMATIVO</t>
        </is>
      </c>
      <c r="L167" t="inlineStr">
        <is>
          <t>NEGATIVO</t>
        </is>
      </c>
      <c r="M167" s="9" t="inlineStr">
        <is>
          <t>AFIRMATIVO</t>
        </is>
      </c>
      <c r="N167" s="17" t="inlineStr">
        <is>
          <t>NEGATIVO</t>
        </is>
      </c>
      <c r="O167" t="inlineStr">
        <is>
          <t>AFIRMATIVO</t>
        </is>
      </c>
      <c r="Q167" t="inlineStr">
        <is>
          <t>AFIRMATIVO</t>
        </is>
      </c>
      <c r="S167" t="inlineStr">
        <is>
          <t>ABSTENCION</t>
        </is>
      </c>
      <c r="V167" s="17" t="inlineStr">
        <is>
          <t>AFIRMATIVO</t>
        </is>
      </c>
      <c r="W167" s="17" t="inlineStr">
        <is>
          <t>AFIRMATIVO</t>
        </is>
      </c>
    </row>
    <row r="168" ht="15.75" customHeight="1" thickBot="1">
      <c r="A168">
        <f>_xlfn.CONCAT(B168,,","," ",C168)</f>
        <v/>
      </c>
      <c r="B168" t="inlineStr">
        <is>
          <t>Noguera</t>
        </is>
      </c>
      <c r="C168" t="inlineStr">
        <is>
          <t>Javier</t>
        </is>
      </c>
      <c r="D168" t="inlineStr">
        <is>
          <t>TUCUMAN</t>
        </is>
      </c>
      <c r="E168" s="1" t="n">
        <v>46001</v>
      </c>
      <c r="F168" s="1" t="n">
        <v>47461</v>
      </c>
      <c r="G168" t="inlineStr">
        <is>
          <t>INDEPENDENCIA</t>
        </is>
      </c>
      <c r="H168" s="12" t="inlineStr">
        <is>
          <t>OBRAS PUBLICAS | COMUNICACIONES E INFORMATICA</t>
        </is>
      </c>
      <c r="I168" t="inlineStr">
        <is>
          <t>AUSENTE</t>
        </is>
      </c>
      <c r="J168" s="17" t="inlineStr">
        <is>
          <t>AUSENTE</t>
        </is>
      </c>
      <c r="L168" t="inlineStr">
        <is>
          <t>AUSENTE</t>
        </is>
      </c>
      <c r="M168" s="9" t="inlineStr">
        <is>
          <t>AFIRMATIVO</t>
        </is>
      </c>
      <c r="N168" s="17" t="inlineStr">
        <is>
          <t>AFIRMATIVO</t>
        </is>
      </c>
      <c r="O168" t="inlineStr">
        <is>
          <t>AFIRMATIVO</t>
        </is>
      </c>
      <c r="Q168" t="inlineStr">
        <is>
          <t>AFIRMATIVO</t>
        </is>
      </c>
      <c r="S168" t="inlineStr">
        <is>
          <t>AFIRMATIVO</t>
        </is>
      </c>
      <c r="V168" s="17" t="inlineStr">
        <is>
          <t>ABSTENCION</t>
        </is>
      </c>
      <c r="W168" s="17" t="inlineStr">
        <is>
          <t>NEGATIVO</t>
        </is>
      </c>
    </row>
    <row r="169" ht="15.75" customHeight="1" thickBot="1">
      <c r="A169">
        <f>_xlfn.CONCAT(B169,,","," ",C169)</f>
        <v/>
      </c>
      <c r="B169" t="inlineStr">
        <is>
          <t>Nuñez</t>
        </is>
      </c>
      <c r="C169" t="inlineStr">
        <is>
          <t>José</t>
        </is>
      </c>
      <c r="D169" t="inlineStr">
        <is>
          <t>SANTA FE</t>
        </is>
      </c>
      <c r="E169" s="1" t="n">
        <v>45270</v>
      </c>
      <c r="F169" s="1" t="n">
        <v>46730</v>
      </c>
      <c r="G169" t="inlineStr">
        <is>
          <t>PROVINCIAS UNIDAS</t>
        </is>
      </c>
      <c r="H169" s="12" t="inlineStr">
        <is>
          <t>LEGISLACION PENAL | OBRAS PUBLICAS | AGRICULTURA Y GANADERIA | INDUSTRIA | ENERGIA Y COMBUSTIBLES | INTERESES MARITIMOS, FLUVIALES, PESQUEROS Y PORTUARIOS | ASUNTOS COOPERATIVOS, MUTUALES Y ORGANIZACIONES NO GUBERNAMENTALES | MERCOSUR</t>
        </is>
      </c>
      <c r="I169" t="inlineStr">
        <is>
          <t>ABSTENCIÓN</t>
        </is>
      </c>
      <c r="J169" s="17" t="inlineStr">
        <is>
          <t>NEGATIVO</t>
        </is>
      </c>
      <c r="L169" t="inlineStr">
        <is>
          <t>AFIRMATIVO</t>
        </is>
      </c>
      <c r="M169" s="9" t="inlineStr">
        <is>
          <t>AFIRMATIVO</t>
        </is>
      </c>
      <c r="N169" s="17" t="inlineStr">
        <is>
          <t>AFIRMATIVO</t>
        </is>
      </c>
      <c r="O169" t="inlineStr">
        <is>
          <t>AFIRMATIVO</t>
        </is>
      </c>
      <c r="Q169" t="inlineStr">
        <is>
          <t>AFIRMATIVO</t>
        </is>
      </c>
      <c r="S169" t="inlineStr">
        <is>
          <t>AUSENTE</t>
        </is>
      </c>
      <c r="V169" s="17" t="inlineStr">
        <is>
          <t>AFIRMATIVO</t>
        </is>
      </c>
      <c r="W169" s="17" t="inlineStr">
        <is>
          <t>AFIRMATIVO</t>
        </is>
      </c>
    </row>
    <row r="170" ht="15.75" customHeight="1" thickBot="1">
      <c r="A170">
        <f>_xlfn.CONCAT(B170,,","," ",C170)</f>
        <v/>
      </c>
      <c r="B170" t="inlineStr">
        <is>
          <t>Ojeda</t>
        </is>
      </c>
      <c r="C170" t="inlineStr">
        <is>
          <t>Joaquín</t>
        </is>
      </c>
      <c r="D170" t="inlineStr">
        <is>
          <t>BUENOS AIRES</t>
        </is>
      </c>
      <c r="E170" s="1" t="n">
        <v>46001</v>
      </c>
      <c r="F170" s="1" t="n">
        <v>47461</v>
      </c>
      <c r="G170" t="inlineStr">
        <is>
          <t>LA LIBERTAD AVANZA</t>
        </is>
      </c>
      <c r="H170" s="12" t="inlineStr">
        <is>
          <t>LEGISLACION GENERAL | EDUCACION | CULTURA | ECONOMIA | DERECHOS HUMANOS Y GARANTIAS | LIBERTAD DE EXPRESION</t>
        </is>
      </c>
      <c r="I170" t="inlineStr">
        <is>
          <t>AFIRMATIVO</t>
        </is>
      </c>
      <c r="J170" s="17" t="inlineStr">
        <is>
          <t>AFIRMATIVO</t>
        </is>
      </c>
      <c r="L170" t="inlineStr">
        <is>
          <t>AFIRMATIVO</t>
        </is>
      </c>
      <c r="M170" s="9" t="inlineStr">
        <is>
          <t>AFIRMATIVO</t>
        </is>
      </c>
      <c r="N170" s="17" t="inlineStr">
        <is>
          <t>AFIRMATIVO</t>
        </is>
      </c>
      <c r="O170" t="inlineStr">
        <is>
          <t>AFIRMATIVO</t>
        </is>
      </c>
      <c r="Q170" t="inlineStr">
        <is>
          <t>AFIRMATIVO</t>
        </is>
      </c>
      <c r="S170" t="inlineStr">
        <is>
          <t>AFIRMATIVO</t>
        </is>
      </c>
      <c r="V170" s="17" t="inlineStr">
        <is>
          <t>ABSTENCION</t>
        </is>
      </c>
      <c r="W170" s="17" t="inlineStr">
        <is>
          <t>AFIRMATIVO</t>
        </is>
      </c>
    </row>
    <row r="171" ht="15.75" customHeight="1" thickBot="1">
      <c r="A171">
        <f>_xlfn.CONCAT(B171,,","," ",C171)</f>
        <v/>
      </c>
      <c r="B171" t="inlineStr">
        <is>
          <t>Olmos</t>
        </is>
      </c>
      <c r="C171" t="inlineStr">
        <is>
          <t>Kelly</t>
        </is>
      </c>
      <c r="D171" t="inlineStr">
        <is>
          <t>CIUDAD DE BUENOS AIRES</t>
        </is>
      </c>
      <c r="E171" s="1" t="n">
        <v>46001</v>
      </c>
      <c r="F171" s="1" t="n">
        <v>47461</v>
      </c>
      <c r="G171" t="inlineStr">
        <is>
          <t>UNIÓN POR LA PATRIA</t>
        </is>
      </c>
      <c r="H171" s="12" t="inlineStr">
        <is>
          <t>CIENCIA, TECNOLOGIA E INNOVACION PRODUCTIVA | CULTURA | PREVISION Y SEGURIDAD SOCIAL | LEGISLACION DEL TRABAJO | FINANZAS | INDUSTRIA | MERCOSUR</t>
        </is>
      </c>
      <c r="I171" t="inlineStr">
        <is>
          <t>NEGATIVO</t>
        </is>
      </c>
      <c r="J171" s="17" t="inlineStr">
        <is>
          <t>NEGATIVO</t>
        </is>
      </c>
      <c r="L171" t="inlineStr">
        <is>
          <t>NEGATIVO</t>
        </is>
      </c>
      <c r="M171" s="9" t="inlineStr">
        <is>
          <t>NEGATIVO</t>
        </is>
      </c>
      <c r="N171" s="17" t="inlineStr">
        <is>
          <t>NEGATIVO</t>
        </is>
      </c>
      <c r="O171" t="inlineStr">
        <is>
          <t>AFIRMATIVO</t>
        </is>
      </c>
      <c r="Q171" t="inlineStr">
        <is>
          <t>NEGATIVO</t>
        </is>
      </c>
      <c r="S171" t="inlineStr">
        <is>
          <t>NEGATIVO</t>
        </is>
      </c>
      <c r="V171" s="17" t="inlineStr">
        <is>
          <t>AFIRMATIVO</t>
        </is>
      </c>
      <c r="W171" s="17" t="inlineStr">
        <is>
          <t>AFIRMATIVO</t>
        </is>
      </c>
    </row>
    <row r="172" ht="15.75" customHeight="1" thickBot="1">
      <c r="A172">
        <f>_xlfn.CONCAT(B172,,","," ",C172)</f>
        <v/>
      </c>
      <c r="B172" t="inlineStr">
        <is>
          <t>Osuna</t>
        </is>
      </c>
      <c r="C172" t="inlineStr">
        <is>
          <t>Blanca Inés</t>
        </is>
      </c>
      <c r="D172" t="inlineStr">
        <is>
          <t>ENTRE RIOS</t>
        </is>
      </c>
      <c r="E172" s="1" t="n">
        <v>45270</v>
      </c>
      <c r="F172" s="1" t="n">
        <v>46730</v>
      </c>
      <c r="G172" t="inlineStr">
        <is>
          <t>UNIÓN POR LA PATRIA</t>
        </is>
      </c>
      <c r="H172" s="12" t="inlineStr">
        <is>
          <t>EDUCACION | ACCION SOCIAL Y SALUD PUBLICA | LEGISLACION DEL TRABAJO | ENERGIA Y COMBUSTIBLES | COMUNICACIONES E INFORMATICA | INTERESES MARITIMOS, FLUVIALES, PESQUEROS Y PORTUARIOS</t>
        </is>
      </c>
      <c r="I172" t="inlineStr">
        <is>
          <t>NEGATIVO</t>
        </is>
      </c>
      <c r="J172" s="17" t="inlineStr">
        <is>
          <t>NEGATIVO</t>
        </is>
      </c>
      <c r="L172" t="inlineStr">
        <is>
          <t>NEGATIVO</t>
        </is>
      </c>
      <c r="M172" s="9" t="inlineStr">
        <is>
          <t>NEGATIVO</t>
        </is>
      </c>
      <c r="N172" s="17" t="inlineStr">
        <is>
          <t>NEGATIVO</t>
        </is>
      </c>
      <c r="O172" t="inlineStr">
        <is>
          <t>NEGATIVO</t>
        </is>
      </c>
      <c r="Q172" t="inlineStr">
        <is>
          <t>NEGATIVO</t>
        </is>
      </c>
      <c r="S172" t="inlineStr">
        <is>
          <t>NEGATIVO</t>
        </is>
      </c>
      <c r="V172" s="17" t="inlineStr">
        <is>
          <t>NEGATIVO</t>
        </is>
      </c>
      <c r="W172" s="17" t="inlineStr">
        <is>
          <t>NEGATIVO</t>
        </is>
      </c>
    </row>
    <row r="173" ht="15.75" customHeight="1" thickBot="1">
      <c r="A173">
        <f>_xlfn.CONCAT(B173,,","," ",C173)</f>
        <v/>
      </c>
      <c r="B173" t="inlineStr">
        <is>
          <t>Outes</t>
        </is>
      </c>
      <c r="C173" t="inlineStr">
        <is>
          <t>Pablo</t>
        </is>
      </c>
      <c r="D173" t="inlineStr">
        <is>
          <t>SALTA</t>
        </is>
      </c>
      <c r="E173" s="1" t="n">
        <v>45270</v>
      </c>
      <c r="F173" s="1" t="n">
        <v>46730</v>
      </c>
      <c r="G173" t="inlineStr">
        <is>
          <t>INNOVACIÓN FEDERAL</t>
        </is>
      </c>
      <c r="H173" s="12" t="inlineStr">
        <is>
          <t>COMERCIO | ASUNTOS MUNICIPALES | MINERIA</t>
        </is>
      </c>
      <c r="I173" t="inlineStr">
        <is>
          <t>AFIRMATIVO</t>
        </is>
      </c>
      <c r="J173" s="17" t="inlineStr">
        <is>
          <t>AUSENTE</t>
        </is>
      </c>
      <c r="L173" t="inlineStr">
        <is>
          <t>AFIRMATIVO</t>
        </is>
      </c>
      <c r="M173" s="9" t="inlineStr">
        <is>
          <t>AFIRMATIVO</t>
        </is>
      </c>
      <c r="N173" s="17" t="inlineStr">
        <is>
          <t>AFIRMATIVO</t>
        </is>
      </c>
      <c r="O173" t="inlineStr">
        <is>
          <t>AFIRMATIVO</t>
        </is>
      </c>
      <c r="Q173" t="inlineStr">
        <is>
          <t>AFIRMATIVO</t>
        </is>
      </c>
      <c r="S173" t="inlineStr">
        <is>
          <t>AFIRMATIVO</t>
        </is>
      </c>
      <c r="V173" s="17" t="inlineStr">
        <is>
          <t>NEGATIVO</t>
        </is>
      </c>
      <c r="W173" s="17" t="inlineStr">
        <is>
          <t>NEGATIVO</t>
        </is>
      </c>
    </row>
    <row r="174" ht="15.75" customHeight="1" thickBot="1">
      <c r="A174">
        <f>_xlfn.CONCAT(B174,,","," ",C174)</f>
        <v/>
      </c>
      <c r="B174" t="inlineStr">
        <is>
          <t>Pagano</t>
        </is>
      </c>
      <c r="C174" t="inlineStr">
        <is>
          <t>Marcela Marina</t>
        </is>
      </c>
      <c r="D174" t="inlineStr">
        <is>
          <t>BUENOS AIRES</t>
        </is>
      </c>
      <c r="E174" s="1" t="n">
        <v>45270</v>
      </c>
      <c r="F174" s="1" t="n">
        <v>46730</v>
      </c>
      <c r="G174" t="inlineStr">
        <is>
          <t>PAIS FEDERAL</t>
        </is>
      </c>
      <c r="H174" s="12" t="inlineStr">
        <is>
          <t>ASUNTOS CONSTITUCIONALES | LEGISLACION GENERAL | JUSTICIA | ACCION SOCIAL Y SALUD PUBLICA | COMUNICACIONES E INFORMATICA | MUJERES Y DIVERSIDAD</t>
        </is>
      </c>
      <c r="I174" t="inlineStr">
        <is>
          <t>NEGATIVO</t>
        </is>
      </c>
      <c r="J174" s="17" t="inlineStr">
        <is>
          <t>NEGATIVO</t>
        </is>
      </c>
      <c r="L174" t="inlineStr">
        <is>
          <t>NEGATIVO</t>
        </is>
      </c>
      <c r="M174" s="9" t="inlineStr">
        <is>
          <t>NEGATIVO</t>
        </is>
      </c>
      <c r="N174" s="17" t="inlineStr">
        <is>
          <t>AUSENTE</t>
        </is>
      </c>
      <c r="O174" t="inlineStr">
        <is>
          <t>AUSENTE</t>
        </is>
      </c>
      <c r="Q174" t="inlineStr">
        <is>
          <t>AUSENTE</t>
        </is>
      </c>
      <c r="S174" t="inlineStr">
        <is>
          <t>AUSENTE</t>
        </is>
      </c>
      <c r="V174" s="17" t="inlineStr">
        <is>
          <t>AFIRMATIVO</t>
        </is>
      </c>
      <c r="W174" s="17" t="inlineStr">
        <is>
          <t>AFIRMATIVO</t>
        </is>
      </c>
    </row>
    <row r="175" ht="15.75" customHeight="1" thickBot="1">
      <c r="A175">
        <f>_xlfn.CONCAT(B175,,","," ",C175)</f>
        <v/>
      </c>
      <c r="B175" t="inlineStr">
        <is>
          <t>Palazzo</t>
        </is>
      </c>
      <c r="C175" t="inlineStr">
        <is>
          <t>Sergio Omar</t>
        </is>
      </c>
      <c r="D175" t="inlineStr">
        <is>
          <t>BUENOS AIRES</t>
        </is>
      </c>
      <c r="E175" s="1" t="n">
        <v>46001</v>
      </c>
      <c r="F175" s="1" t="n">
        <v>47461</v>
      </c>
      <c r="G175" t="inlineStr">
        <is>
          <t>UNIÓN POR LA PATRIA</t>
        </is>
      </c>
      <c r="H175" s="12" t="inlineStr">
        <is>
          <t>CULTURA | PREVISION Y SEGURIDAD SOCIAL | LEGISLACION DEL TRABAJO | FINANZAS | DEPORTES | DERECHOS HUMANOS Y GARANTIAS</t>
        </is>
      </c>
      <c r="I175" t="inlineStr">
        <is>
          <t>NEGATIVO</t>
        </is>
      </c>
      <c r="J175" s="17" t="inlineStr">
        <is>
          <t>NEGATIVO</t>
        </is>
      </c>
      <c r="L175" t="inlineStr">
        <is>
          <t>NEGATIVO</t>
        </is>
      </c>
      <c r="M175" s="9" t="inlineStr">
        <is>
          <t>NEGATIVO</t>
        </is>
      </c>
      <c r="N175" s="17" t="inlineStr">
        <is>
          <t>NEGATIVO</t>
        </is>
      </c>
      <c r="O175" t="inlineStr">
        <is>
          <t>NEGATIVO</t>
        </is>
      </c>
      <c r="Q175" t="inlineStr">
        <is>
          <t>NEGATIVO</t>
        </is>
      </c>
      <c r="S175" t="inlineStr">
        <is>
          <t>NEGATIVO</t>
        </is>
      </c>
      <c r="V175" s="17" t="inlineStr">
        <is>
          <t>NEGATIVO</t>
        </is>
      </c>
      <c r="W175" s="17" t="inlineStr">
        <is>
          <t>NEGATIVO</t>
        </is>
      </c>
    </row>
    <row r="176" ht="15.75" customHeight="1" thickBot="1">
      <c r="A176">
        <f>_xlfn.CONCAT(B176,,","," ",C176)</f>
        <v/>
      </c>
      <c r="B176" t="inlineStr">
        <is>
          <t>Palladino</t>
        </is>
      </c>
      <c r="C176" t="inlineStr">
        <is>
          <t>Claudia María</t>
        </is>
      </c>
      <c r="D176" t="inlineStr">
        <is>
          <t>CATAMARCA</t>
        </is>
      </c>
      <c r="E176" s="1" t="n">
        <v>46001</v>
      </c>
      <c r="F176" s="1" t="n">
        <v>47461</v>
      </c>
      <c r="G176" t="inlineStr">
        <is>
          <t>UNIÓN POR LA PATRIA</t>
        </is>
      </c>
      <c r="H176" s="12" t="inlineStr">
        <is>
          <t>PRESUPUESTO Y HACIENDA | ACCION SOCIAL Y SALUD PUBLICA | FAMILIAS, NIÑEZ Y JUVENTUDES | ASUNTOS COOPERATIVOS, MUTUALES Y ORGANIZACIONES NO GUBERNAMENTALES</t>
        </is>
      </c>
      <c r="I176" t="inlineStr">
        <is>
          <t>NEGATIVO</t>
        </is>
      </c>
      <c r="J176" s="17" t="inlineStr">
        <is>
          <t>NEGATIVO</t>
        </is>
      </c>
      <c r="L176" t="inlineStr">
        <is>
          <t>NEGATIVO</t>
        </is>
      </c>
      <c r="M176" s="9" t="inlineStr">
        <is>
          <t>NEGATIVO</t>
        </is>
      </c>
      <c r="N176" s="17" t="inlineStr">
        <is>
          <t>NEGATIVO</t>
        </is>
      </c>
      <c r="O176" t="inlineStr">
        <is>
          <t>AFIRMATIVO</t>
        </is>
      </c>
      <c r="Q176" t="inlineStr">
        <is>
          <t>NEGATIVO</t>
        </is>
      </c>
      <c r="S176" t="inlineStr">
        <is>
          <t>NEGATIVO</t>
        </is>
      </c>
      <c r="V176" s="17" t="inlineStr">
        <is>
          <t>NEGATIVO</t>
        </is>
      </c>
      <c r="W176" s="17" t="inlineStr">
        <is>
          <t>NEGATIVO</t>
        </is>
      </c>
    </row>
    <row r="177" ht="15.75" customHeight="1" thickBot="1">
      <c r="A177">
        <f>_xlfn.CONCAT(B177,,","," ",C177)</f>
        <v/>
      </c>
      <c r="B177" t="inlineStr">
        <is>
          <t>Pareja</t>
        </is>
      </c>
      <c r="C177" t="inlineStr">
        <is>
          <t>Sebastián</t>
        </is>
      </c>
      <c r="D177" t="inlineStr">
        <is>
          <t>BUENOS AIRES</t>
        </is>
      </c>
      <c r="E177" s="1" t="n">
        <v>46001</v>
      </c>
      <c r="F177" s="1" t="n">
        <v>47461</v>
      </c>
      <c r="G177" t="inlineStr">
        <is>
          <t>LA LIBERTAD AVANZA</t>
        </is>
      </c>
      <c r="H177" s="12" t="inlineStr">
        <is>
          <t>ASUNTOS CONSTITUCIONALES | JUSTICIA | ENERGIA Y COMBUSTIBLES | COMUNICACIONES E INFORMATICA | JUICIO POLITICO | LIBERTAD DE EXPRESION</t>
        </is>
      </c>
      <c r="I177" t="inlineStr">
        <is>
          <t>AFIRMATIVO</t>
        </is>
      </c>
      <c r="J177" s="17" t="inlineStr">
        <is>
          <t>AFIRMATIVO</t>
        </is>
      </c>
      <c r="L177" t="inlineStr">
        <is>
          <t>AFIRMATIVO</t>
        </is>
      </c>
      <c r="M177" s="9" t="inlineStr">
        <is>
          <t>AFIRMATIVO</t>
        </is>
      </c>
      <c r="N177" s="17" t="inlineStr">
        <is>
          <t>AFIRMATIVO</t>
        </is>
      </c>
      <c r="O177" t="inlineStr">
        <is>
          <t>AFIRMATIVO</t>
        </is>
      </c>
      <c r="Q177" t="inlineStr">
        <is>
          <t>AFIRMATIVO</t>
        </is>
      </c>
      <c r="S177" t="inlineStr">
        <is>
          <t>AFIRMATIVO</t>
        </is>
      </c>
      <c r="V177" s="17" t="inlineStr">
        <is>
          <t>AUSENTE</t>
        </is>
      </c>
      <c r="W177" s="17" t="inlineStr">
        <is>
          <t>AUSENTE</t>
        </is>
      </c>
    </row>
    <row r="178" ht="15.75" customHeight="1" thickBot="1">
      <c r="A178">
        <f>_xlfn.CONCAT(B178,,","," ",C178)</f>
        <v/>
      </c>
      <c r="B178" t="inlineStr">
        <is>
          <t>Parola</t>
        </is>
      </c>
      <c r="C178" t="inlineStr">
        <is>
          <t>María Graciela</t>
        </is>
      </c>
      <c r="D178" t="inlineStr">
        <is>
          <t>FORMOSA</t>
        </is>
      </c>
      <c r="E178" s="1" t="n">
        <v>45270</v>
      </c>
      <c r="F178" s="1" t="n">
        <v>46730</v>
      </c>
      <c r="G178" t="inlineStr">
        <is>
          <t>UNIÓN POR LA PATRIA</t>
        </is>
      </c>
      <c r="H178" s="12" t="inlineStr">
        <is>
          <t>ASUNTOS CONSTITUCIONALES | LEGISLACION GENERAL | JUSTICIA | ACCION SOCIAL Y SALUD PUBLICA | COMUNICACIONES E INFORMATICA | MUJERES Y DIVERSIDAD</t>
        </is>
      </c>
      <c r="I178" t="inlineStr">
        <is>
          <t>NEGATIVO</t>
        </is>
      </c>
      <c r="J178" s="17" t="inlineStr">
        <is>
          <t>NEGATIVO</t>
        </is>
      </c>
      <c r="L178" t="inlineStr">
        <is>
          <t>NEGATIVO</t>
        </is>
      </c>
      <c r="M178" s="9" t="inlineStr">
        <is>
          <t>NEGATIVO</t>
        </is>
      </c>
      <c r="N178" s="17" t="inlineStr">
        <is>
          <t>NEGATIVO</t>
        </is>
      </c>
      <c r="O178" t="inlineStr">
        <is>
          <t>AFIRMATIVO</t>
        </is>
      </c>
      <c r="Q178" t="inlineStr">
        <is>
          <t>NEGATIVO</t>
        </is>
      </c>
      <c r="S178" t="inlineStr">
        <is>
          <t>NEGATIVO</t>
        </is>
      </c>
      <c r="V178" s="17" t="inlineStr">
        <is>
          <t>AFIRMATIVO</t>
        </is>
      </c>
      <c r="W178" s="17" t="inlineStr">
        <is>
          <t>AFIRMATIVO</t>
        </is>
      </c>
    </row>
    <row r="179" ht="15.75" customHeight="1" thickBot="1">
      <c r="A179">
        <f>_xlfn.CONCAT(B179,,","," ",C179)</f>
        <v/>
      </c>
      <c r="B179" t="inlineStr">
        <is>
          <t>Patiño Brizuela</t>
        </is>
      </c>
      <c r="C179" t="inlineStr">
        <is>
          <t>Marcos</t>
        </is>
      </c>
      <c r="D179" t="inlineStr">
        <is>
          <t>CORDOBA</t>
        </is>
      </c>
      <c r="E179" s="1" t="n">
        <v>46001</v>
      </c>
      <c r="F179" s="1" t="n">
        <v>47461</v>
      </c>
      <c r="G179" t="inlineStr">
        <is>
          <t>LA LIBERTAD AVANZA</t>
        </is>
      </c>
      <c r="H179" s="12" t="inlineStr">
        <is>
          <t>ASUNTOS CONSTITUCIONALES | PRESUPUESTO Y HACIENDA | ACCION SOCIAL Y SALUD PUBLICA | FINANZAS | COMERCIO | ECONOMIA | PEQUEÑAS Y MEDIANAS EMPRESAS | DEFENSA DEL CONSUMIDOR, DEL USUARIO Y DE LA COMPETENCIA</t>
        </is>
      </c>
      <c r="I179" t="inlineStr">
        <is>
          <t>AFIRMATIVO</t>
        </is>
      </c>
      <c r="J179" s="17" t="inlineStr">
        <is>
          <t>AFIRMATIVO</t>
        </is>
      </c>
      <c r="L179" t="inlineStr">
        <is>
          <t>AFIRMATIVO</t>
        </is>
      </c>
      <c r="M179" s="9" t="inlineStr">
        <is>
          <t>AFIRMATIVO</t>
        </is>
      </c>
      <c r="N179" s="17" t="inlineStr">
        <is>
          <t>AFIRMATIVO</t>
        </is>
      </c>
      <c r="O179" t="inlineStr">
        <is>
          <t>AFIRMATIVO</t>
        </is>
      </c>
      <c r="Q179" t="inlineStr">
        <is>
          <t>AFIRMATIVO</t>
        </is>
      </c>
      <c r="S179" t="inlineStr">
        <is>
          <t>AFIRMATIVO</t>
        </is>
      </c>
      <c r="V179" s="17" t="inlineStr">
        <is>
          <t>NEGATIVO</t>
        </is>
      </c>
      <c r="W179" s="17" t="inlineStr">
        <is>
          <t>NEGATIVO</t>
        </is>
      </c>
    </row>
    <row r="180" ht="15.75" customHeight="1" thickBot="1">
      <c r="A180">
        <f>_xlfn.CONCAT(B180,,","," ",C180)</f>
        <v/>
      </c>
      <c r="B180" t="inlineStr">
        <is>
          <t>Pauli</t>
        </is>
      </c>
      <c r="C180" t="inlineStr">
        <is>
          <t>Santiago</t>
        </is>
      </c>
      <c r="D180" t="inlineStr">
        <is>
          <t>TIERRA DEL FUEGO</t>
        </is>
      </c>
      <c r="E180" s="1" t="n">
        <v>45270</v>
      </c>
      <c r="F180" s="1" t="n">
        <v>46730</v>
      </c>
      <c r="G180" t="inlineStr">
        <is>
          <t>LA LIBERTAD AVANZA</t>
        </is>
      </c>
      <c r="H180" s="12" t="inlineStr">
        <is>
          <t>ASUNTOS CONSTITUCIONALES | RELACIONES EXTERIORES Y CULTO | EDUCACION | DEFENSA NACIONAL | OBRAS PUBLICAS | FINANZAS | INDUSTRIA | COMERCIO | TURISMO</t>
        </is>
      </c>
      <c r="I180" t="inlineStr">
        <is>
          <t>AFIRMATIVO</t>
        </is>
      </c>
      <c r="J180" s="17" t="inlineStr">
        <is>
          <t>AFIRMATIVO</t>
        </is>
      </c>
      <c r="L180" t="inlineStr">
        <is>
          <t>AFIRMATIVO</t>
        </is>
      </c>
      <c r="M180" s="9" t="inlineStr">
        <is>
          <t>AFIRMATIVO</t>
        </is>
      </c>
      <c r="N180" s="17" t="inlineStr">
        <is>
          <t>AFIRMATIVO</t>
        </is>
      </c>
      <c r="O180" t="inlineStr">
        <is>
          <t>AFIRMATIVO</t>
        </is>
      </c>
      <c r="Q180" t="inlineStr">
        <is>
          <t>AFIRMATIVO</t>
        </is>
      </c>
      <c r="S180" t="inlineStr">
        <is>
          <t>AFIRMATIVO</t>
        </is>
      </c>
      <c r="V180" s="17" t="inlineStr">
        <is>
          <t>AFIRMATIVO</t>
        </is>
      </c>
      <c r="W180" s="17" t="inlineStr">
        <is>
          <t>AFIRMATIVO</t>
        </is>
      </c>
    </row>
    <row r="181" ht="15.75" customHeight="1" thickBot="1">
      <c r="A181">
        <f>_xlfn.CONCAT(B181,,","," ",C181)</f>
        <v/>
      </c>
      <c r="B181" t="inlineStr">
        <is>
          <t>Paulón</t>
        </is>
      </c>
      <c r="C181" t="inlineStr">
        <is>
          <t>Esteban</t>
        </is>
      </c>
      <c r="D181" t="inlineStr">
        <is>
          <t>SANTA FE</t>
        </is>
      </c>
      <c r="E181" s="1" t="n">
        <v>45270</v>
      </c>
      <c r="F181" s="1" t="n">
        <v>46730</v>
      </c>
      <c r="G181" t="inlineStr">
        <is>
          <t>PROVINCIAS UNIDAS</t>
        </is>
      </c>
      <c r="H181" s="12" t="inlineStr">
        <is>
          <t>RELACIONES EXTERIORES Y CULTO | EDUCACION | CULTURA | VIVIENDA Y ORDENAMIENTO URBANO | PETICIONES, PODERES Y REGLAMENTO | DERECHOS HUMANOS Y GARANTIAS | LIBERTAD DE EXPRESION | MUJERES Y DIVERSIDAD</t>
        </is>
      </c>
      <c r="I181" t="inlineStr">
        <is>
          <t>ABSTENCIÓN</t>
        </is>
      </c>
      <c r="J181" s="17" t="inlineStr">
        <is>
          <t>NEGATIVO</t>
        </is>
      </c>
      <c r="L181" t="inlineStr">
        <is>
          <t>NEGATIVO</t>
        </is>
      </c>
      <c r="M181" s="9" t="inlineStr">
        <is>
          <t>NEGATIVO</t>
        </is>
      </c>
      <c r="N181" s="17" t="inlineStr">
        <is>
          <t>AFIRMATIVO</t>
        </is>
      </c>
      <c r="O181" t="inlineStr">
        <is>
          <t>AFIRMATIVO</t>
        </is>
      </c>
      <c r="Q181" t="inlineStr">
        <is>
          <t>NEGATIVO</t>
        </is>
      </c>
      <c r="S181" t="inlineStr">
        <is>
          <t>NEGATIVO</t>
        </is>
      </c>
      <c r="V181" s="17" t="inlineStr">
        <is>
          <t>AFIRMATIVO</t>
        </is>
      </c>
      <c r="W181" s="17" t="inlineStr">
        <is>
          <t>AFIRMATIVO</t>
        </is>
      </c>
    </row>
    <row r="182" ht="15.75" customHeight="1" thickBot="1">
      <c r="A182">
        <f>_xlfn.CONCAT(B182,,","," ",C182)</f>
        <v/>
      </c>
      <c r="B182" t="inlineStr">
        <is>
          <t>Pedrali</t>
        </is>
      </c>
      <c r="C182" t="inlineStr">
        <is>
          <t>Gabriela</t>
        </is>
      </c>
      <c r="D182" t="inlineStr">
        <is>
          <t>LA RIOJA</t>
        </is>
      </c>
      <c r="E182" s="1" t="n">
        <v>46001</v>
      </c>
      <c r="F182" s="1" t="n">
        <v>47461</v>
      </c>
      <c r="G182" t="inlineStr">
        <is>
          <t>UNIÓN POR LA PATRIA</t>
        </is>
      </c>
      <c r="H182" s="12" t="inlineStr">
        <is>
          <t>LEGISLACION GENERAL | CULTURA | ENERGIA Y COMBUSTIBLES | COMUNICACIONES E INFORMATICA | MINERIA</t>
        </is>
      </c>
      <c r="I182" t="inlineStr">
        <is>
          <t>NEGATIVO</t>
        </is>
      </c>
      <c r="J182" s="17" t="inlineStr">
        <is>
          <t>NEGATIVO</t>
        </is>
      </c>
      <c r="L182" t="inlineStr">
        <is>
          <t>NEGATIVO</t>
        </is>
      </c>
      <c r="M182" s="9" t="inlineStr">
        <is>
          <t>NEGATIVO</t>
        </is>
      </c>
      <c r="N182" s="17" t="inlineStr">
        <is>
          <t>NEGATIVO</t>
        </is>
      </c>
      <c r="O182" t="inlineStr">
        <is>
          <t>AFIRMATIVO</t>
        </is>
      </c>
      <c r="Q182" t="inlineStr">
        <is>
          <t>NEGATIVO</t>
        </is>
      </c>
      <c r="S182" t="inlineStr">
        <is>
          <t>NEGATIVO</t>
        </is>
      </c>
      <c r="V182" s="17" t="inlineStr">
        <is>
          <t>AUSENTE</t>
        </is>
      </c>
      <c r="W182" s="17" t="inlineStr">
        <is>
          <t>AUSENTE</t>
        </is>
      </c>
    </row>
    <row r="183" ht="15.75" customHeight="1" thickBot="1">
      <c r="A183">
        <f>_xlfn.CONCAT(B183,,","," ",C183)</f>
        <v/>
      </c>
      <c r="B183" t="inlineStr">
        <is>
          <t>Pellegrini</t>
        </is>
      </c>
      <c r="C183" t="inlineStr">
        <is>
          <t>Agustín</t>
        </is>
      </c>
      <c r="D183" t="inlineStr">
        <is>
          <t>SANTA FE</t>
        </is>
      </c>
      <c r="E183" s="1" t="n">
        <v>46001</v>
      </c>
      <c r="F183" s="1" t="n">
        <v>47461</v>
      </c>
      <c r="G183" t="inlineStr">
        <is>
          <t>LA LIBERTAD AVANZA</t>
        </is>
      </c>
      <c r="H183" s="12" t="inlineStr">
        <is>
          <t>COMERCIO | ECONOMIA | PEQUEÑAS Y MEDIANAS EMPRESAS</t>
        </is>
      </c>
      <c r="I183" t="inlineStr">
        <is>
          <t>AFIRMATIVO</t>
        </is>
      </c>
      <c r="J183" s="17" t="inlineStr">
        <is>
          <t>AFIRMATIVO</t>
        </is>
      </c>
      <c r="L183" t="inlineStr">
        <is>
          <t>AFIRMATIVO</t>
        </is>
      </c>
      <c r="M183" s="9" t="inlineStr">
        <is>
          <t>AFIRMATIVO</t>
        </is>
      </c>
      <c r="N183" s="17" t="inlineStr">
        <is>
          <t>AFIRMATIVO</t>
        </is>
      </c>
      <c r="O183" t="inlineStr">
        <is>
          <t>AFIRMATIVO</t>
        </is>
      </c>
      <c r="Q183" t="inlineStr">
        <is>
          <t>AFIRMATIVO</t>
        </is>
      </c>
      <c r="S183" t="inlineStr">
        <is>
          <t>AFIRMATIVO</t>
        </is>
      </c>
      <c r="V183" s="17" t="inlineStr">
        <is>
          <t>NEGATIVO</t>
        </is>
      </c>
      <c r="W183" s="17" t="inlineStr">
        <is>
          <t>NEGATIVO</t>
        </is>
      </c>
    </row>
    <row r="184" ht="15.75" customHeight="1" thickBot="1">
      <c r="A184">
        <f>_xlfn.CONCAT(B184,,","," ",C184)</f>
        <v/>
      </c>
      <c r="B184" t="inlineStr">
        <is>
          <t>Pelli</t>
        </is>
      </c>
      <c r="C184" t="inlineStr">
        <is>
          <t>Federico Agustín</t>
        </is>
      </c>
      <c r="D184" t="inlineStr">
        <is>
          <t>TUCUMAN</t>
        </is>
      </c>
      <c r="E184" s="1" t="n">
        <v>46001</v>
      </c>
      <c r="F184" s="1" t="n">
        <v>47461</v>
      </c>
      <c r="G184" t="inlineStr">
        <is>
          <t>LA LIBERTAD AVANZA</t>
        </is>
      </c>
      <c r="H184" s="12" t="inlineStr">
        <is>
          <t>DEFENSA NACIONAL | PREVENCION DE ADICCIONES Y CONTROL DEL NARCOTRAFICO | MERCOSUR | DEFENSA DEL CONSUMIDOR, DEL USUARIO Y DE LA COMPETENCIA | SEGURIDAD INTERIOR</t>
        </is>
      </c>
      <c r="I184" t="inlineStr">
        <is>
          <t>AFIRMATIVO</t>
        </is>
      </c>
      <c r="J184" s="17" t="inlineStr">
        <is>
          <t>AFIRMATIVO</t>
        </is>
      </c>
      <c r="L184" t="inlineStr">
        <is>
          <t>AFIRMATIVO</t>
        </is>
      </c>
      <c r="M184" s="9" t="inlineStr">
        <is>
          <t>AFIRMATIVO</t>
        </is>
      </c>
      <c r="N184" s="17" t="inlineStr">
        <is>
          <t>AFIRMATIVO</t>
        </is>
      </c>
      <c r="O184" t="inlineStr">
        <is>
          <t>AFIRMATIVO</t>
        </is>
      </c>
      <c r="Q184" t="inlineStr">
        <is>
          <t>AFIRMATIVO</t>
        </is>
      </c>
      <c r="S184" t="inlineStr">
        <is>
          <t>AFIRMATIVO</t>
        </is>
      </c>
      <c r="V184" s="17" t="inlineStr">
        <is>
          <t>AFIRMATIVO</t>
        </is>
      </c>
      <c r="W184" s="17" t="inlineStr">
        <is>
          <t>AFIRMATIVO</t>
        </is>
      </c>
    </row>
    <row r="185" ht="15.75" customHeight="1" thickBot="1">
      <c r="A185">
        <f>_xlfn.CONCAT(B185,,","," ",C185)</f>
        <v/>
      </c>
      <c r="B185" t="inlineStr">
        <is>
          <t>Peluc</t>
        </is>
      </c>
      <c r="C185" t="inlineStr">
        <is>
          <t>José</t>
        </is>
      </c>
      <c r="D185" t="inlineStr">
        <is>
          <t>SAN JUAN</t>
        </is>
      </c>
      <c r="E185" s="1" t="n">
        <v>45270</v>
      </c>
      <c r="F185" s="1" t="n">
        <v>46730</v>
      </c>
      <c r="G185" t="inlineStr">
        <is>
          <t>LA LIBERTAD AVANZA</t>
        </is>
      </c>
      <c r="H185" s="12" t="inlineStr">
        <is>
          <t>AGRICULTURA Y GANADERIA | ASUNTOS MUNICIPALES | JUICIO POLITICO | RECURSOS NATURALES Y CONSERVACION DEL AMBIENTE HUMANO | MINERIA</t>
        </is>
      </c>
      <c r="I185" t="inlineStr">
        <is>
          <t>AFIRMATIVO</t>
        </is>
      </c>
      <c r="J185" s="17" t="inlineStr">
        <is>
          <t>AFIRMATIVO</t>
        </is>
      </c>
      <c r="L185" t="inlineStr">
        <is>
          <t>AFIRMATIVO</t>
        </is>
      </c>
      <c r="M185" s="9" t="inlineStr">
        <is>
          <t>AFIRMATIVO</t>
        </is>
      </c>
      <c r="N185" s="17" t="inlineStr">
        <is>
          <t>AFIRMATIVO</t>
        </is>
      </c>
      <c r="O185" t="inlineStr">
        <is>
          <t>AFIRMATIVO</t>
        </is>
      </c>
      <c r="Q185" t="inlineStr">
        <is>
          <t>AFIRMATIVO</t>
        </is>
      </c>
      <c r="S185" t="inlineStr">
        <is>
          <t>AFIRMATIVO</t>
        </is>
      </c>
      <c r="V185" s="17" t="inlineStr">
        <is>
          <t>AFIRMATIVO</t>
        </is>
      </c>
      <c r="W185" s="17" t="inlineStr">
        <is>
          <t>AFIRMATIVO</t>
        </is>
      </c>
    </row>
    <row r="186" ht="15.75" customHeight="1" thickBot="1">
      <c r="A186">
        <f>_xlfn.CONCAT(B186,,","," ",C186)</f>
        <v/>
      </c>
      <c r="B186" t="inlineStr">
        <is>
          <t>Penacca</t>
        </is>
      </c>
      <c r="C186" t="inlineStr">
        <is>
          <t>Paula Andrea</t>
        </is>
      </c>
      <c r="D186" t="inlineStr">
        <is>
          <t>CIUDAD DE BUENOS AIRES</t>
        </is>
      </c>
      <c r="E186" s="1" t="n">
        <v>45270</v>
      </c>
      <c r="F186" s="1" t="n">
        <v>46730</v>
      </c>
      <c r="G186" t="inlineStr">
        <is>
          <t>UNIÓN POR LA PATRIA</t>
        </is>
      </c>
      <c r="H186" s="12" t="inlineStr">
        <is>
          <t>PETICIONES, PODERES Y REGLAMENTO | JUICIO POLITICO | PREVENCION DE ADICCIONES Y CONTROL DEL NARCOTRAFICO | DERECHOS HUMANOS Y GARANTIAS | SEGURIDAD INTERIOR</t>
        </is>
      </c>
      <c r="I186" t="inlineStr">
        <is>
          <t>NEGATIVO</t>
        </is>
      </c>
      <c r="J186" s="17" t="inlineStr">
        <is>
          <t>NEGATIVO</t>
        </is>
      </c>
      <c r="L186" t="inlineStr">
        <is>
          <t>NEGATIVO</t>
        </is>
      </c>
      <c r="M186" s="9" t="inlineStr">
        <is>
          <t>NEGATIVO</t>
        </is>
      </c>
      <c r="N186" s="17" t="inlineStr">
        <is>
          <t>NEGATIVO</t>
        </is>
      </c>
      <c r="O186" t="inlineStr">
        <is>
          <t>NEGATIVO</t>
        </is>
      </c>
      <c r="Q186" t="inlineStr">
        <is>
          <t>NEGATIVO</t>
        </is>
      </c>
      <c r="S186" t="inlineStr">
        <is>
          <t>NEGATIVO</t>
        </is>
      </c>
      <c r="V186" s="17" t="inlineStr">
        <is>
          <t>AFIRMATIVO</t>
        </is>
      </c>
      <c r="W186" s="17" t="inlineStr">
        <is>
          <t>AFIRMATIVO</t>
        </is>
      </c>
    </row>
    <row r="187" ht="15.75" customHeight="1" thickBot="1">
      <c r="A187">
        <f>_xlfn.CONCAT(B187,,","," ",C187)</f>
        <v/>
      </c>
      <c r="B187" t="inlineStr">
        <is>
          <t>Petri</t>
        </is>
      </c>
      <c r="C187" t="inlineStr">
        <is>
          <t>Luis</t>
        </is>
      </c>
      <c r="D187" t="inlineStr">
        <is>
          <t>MENDOZA</t>
        </is>
      </c>
      <c r="E187" s="1" t="n">
        <v>46001</v>
      </c>
      <c r="F187" s="1" t="n">
        <v>47461</v>
      </c>
      <c r="G187" t="inlineStr">
        <is>
          <t>LA LIBERTAD AVANZA</t>
        </is>
      </c>
      <c r="H187" s="12" t="inlineStr">
        <is>
          <t>RELACIONES EXTERIORES Y CULTO | LEGISLACION PENAL | DEFENSA NACIONAL | PETICIONES, PODERES Y REGLAMENTO | ANALISIS Y SEGUIMIENTO DEL CUMPLIMIENTO DE NORMAS TRIBUTARIAS Y PREVISIONALES | SEGURIDAD INTERIOR</t>
        </is>
      </c>
      <c r="I187" t="inlineStr">
        <is>
          <t>AFIRMATIVO</t>
        </is>
      </c>
      <c r="J187" s="17" t="inlineStr">
        <is>
          <t>AFIRMATIVO</t>
        </is>
      </c>
      <c r="L187" t="inlineStr">
        <is>
          <t>AFIRMATIVO</t>
        </is>
      </c>
      <c r="M187" s="9" t="inlineStr">
        <is>
          <t>AFIRMATIVO</t>
        </is>
      </c>
      <c r="N187" s="17" t="inlineStr">
        <is>
          <t>AFIRMATIVO</t>
        </is>
      </c>
      <c r="O187" t="inlineStr">
        <is>
          <t>AFIRMATIVO</t>
        </is>
      </c>
      <c r="Q187" t="inlineStr">
        <is>
          <t>AFIRMATIVO</t>
        </is>
      </c>
      <c r="S187" t="inlineStr">
        <is>
          <t>AFIRMATIVO</t>
        </is>
      </c>
      <c r="V187" s="17" t="inlineStr">
        <is>
          <t>NEGATIVO</t>
        </is>
      </c>
      <c r="W187" s="17" t="inlineStr">
        <is>
          <t>NEGATIVO</t>
        </is>
      </c>
    </row>
    <row r="188" ht="15.75" customHeight="1" thickBot="1">
      <c r="A188">
        <f>_xlfn.CONCAT(B188,,","," ",C188)</f>
        <v/>
      </c>
      <c r="B188" t="inlineStr">
        <is>
          <t>Petrovich</t>
        </is>
      </c>
      <c r="C188" t="inlineStr">
        <is>
          <t>María Lorena</t>
        </is>
      </c>
      <c r="D188" t="inlineStr">
        <is>
          <t>BUENOS AIRES</t>
        </is>
      </c>
      <c r="E188" s="1" t="n">
        <v>46001</v>
      </c>
      <c r="F188" s="1" t="n">
        <v>46730</v>
      </c>
      <c r="G188" t="inlineStr">
        <is>
          <t>LA LIBERTAD AVANZA</t>
        </is>
      </c>
      <c r="H188" s="12" t="inlineStr">
        <is>
          <t>EDUCACION | ACCION SOCIAL Y SALUD PUBLICA | VIVIENDA Y ORDENAMIENTO URBANO | PREVENCION DE ADICCIONES Y CONTROL DEL NARCOTRAFICO | DERECHOS HUMANOS Y GARANTIAS | SEGURIDAD INTERIOR | MUJERES Y DIVERSIDAD</t>
        </is>
      </c>
      <c r="I188" t="inlineStr">
        <is>
          <t>AFIRMATIVO</t>
        </is>
      </c>
      <c r="J188" s="17" t="inlineStr">
        <is>
          <t>AFIRMATIVO</t>
        </is>
      </c>
      <c r="L188" t="inlineStr">
        <is>
          <t>AFIRMATIVO</t>
        </is>
      </c>
      <c r="M188" s="9" t="inlineStr">
        <is>
          <t>AFIRMATIVO</t>
        </is>
      </c>
      <c r="N188" s="17" t="inlineStr">
        <is>
          <t>AFIRMATIVO</t>
        </is>
      </c>
      <c r="O188" t="inlineStr">
        <is>
          <t>AFIRMATIVO</t>
        </is>
      </c>
      <c r="Q188" t="inlineStr">
        <is>
          <t>AFIRMATIVO</t>
        </is>
      </c>
      <c r="S188" t="inlineStr">
        <is>
          <t>AFIRMATIVO</t>
        </is>
      </c>
      <c r="V188" s="17" t="inlineStr">
        <is>
          <t>AFIRMATIVO</t>
        </is>
      </c>
      <c r="W188" s="17" t="inlineStr">
        <is>
          <t>AFIRMATIVO</t>
        </is>
      </c>
    </row>
    <row r="189" ht="15.75" customHeight="1" thickBot="1">
      <c r="A189">
        <f>_xlfn.CONCAT(B189,,","," ",C189)</f>
        <v/>
      </c>
      <c r="B189" t="inlineStr">
        <is>
          <t>Picat</t>
        </is>
      </c>
      <c r="C189" t="inlineStr">
        <is>
          <t>Luis Albino</t>
        </is>
      </c>
      <c r="D189" t="inlineStr">
        <is>
          <t>CORDOBA</t>
        </is>
      </c>
      <c r="E189" s="1" t="n">
        <v>45270</v>
      </c>
      <c r="F189" s="1" t="n">
        <v>46730</v>
      </c>
      <c r="G189" t="inlineStr">
        <is>
          <t>LA LIBERTAD AVANZA</t>
        </is>
      </c>
      <c r="H189" s="12" t="inlineStr">
        <is>
          <t>VIVIENDA Y ORDENAMIENTO URBANO | POBLACION Y DESARROLLO HUMANO</t>
        </is>
      </c>
      <c r="I189" t="inlineStr">
        <is>
          <t>AFIRMATIVO</t>
        </is>
      </c>
      <c r="J189" s="17" t="inlineStr">
        <is>
          <t>AFIRMATIVO</t>
        </is>
      </c>
      <c r="L189" t="inlineStr">
        <is>
          <t>AFIRMATIVO</t>
        </is>
      </c>
      <c r="M189" s="9" t="inlineStr">
        <is>
          <t>AFIRMATIVO</t>
        </is>
      </c>
      <c r="N189" s="17" t="inlineStr">
        <is>
          <t>AFIRMATIVO</t>
        </is>
      </c>
      <c r="O189" t="inlineStr">
        <is>
          <t>AFIRMATIVO</t>
        </is>
      </c>
      <c r="Q189" t="inlineStr">
        <is>
          <t>AFIRMATIVO</t>
        </is>
      </c>
      <c r="S189" t="inlineStr">
        <is>
          <t>AFIRMATIVO</t>
        </is>
      </c>
      <c r="V189" s="17" t="inlineStr">
        <is>
          <t>AFIRMATIVO</t>
        </is>
      </c>
      <c r="W189" s="17" t="inlineStr">
        <is>
          <t>AFIRMATIVO</t>
        </is>
      </c>
    </row>
    <row r="190" ht="15.75" customHeight="1" thickBot="1">
      <c r="A190">
        <f>_xlfn.CONCAT(B190,,","," ",C190)</f>
        <v/>
      </c>
      <c r="B190" t="inlineStr">
        <is>
          <t>Pichetto</t>
        </is>
      </c>
      <c r="C190" t="inlineStr">
        <is>
          <t>Miguel Ángel</t>
        </is>
      </c>
      <c r="D190" t="inlineStr">
        <is>
          <t>BUENOS AIRES</t>
        </is>
      </c>
      <c r="E190" s="1" t="n">
        <v>45270</v>
      </c>
      <c r="F190" s="1" t="n">
        <v>46730</v>
      </c>
      <c r="G190" t="inlineStr">
        <is>
          <t>ENCUENTRO FEDERAL</t>
        </is>
      </c>
      <c r="H190" s="12" t="inlineStr">
        <is>
          <t>Sin comisiones asignadas</t>
        </is>
      </c>
      <c r="I190" t="inlineStr">
        <is>
          <t>NEGATIVO</t>
        </is>
      </c>
      <c r="J190" s="17" t="inlineStr">
        <is>
          <t>AUSENTE</t>
        </is>
      </c>
      <c r="L190" t="inlineStr">
        <is>
          <t>NEGATIVO</t>
        </is>
      </c>
      <c r="M190" s="9" t="inlineStr">
        <is>
          <t>NEGATIVO</t>
        </is>
      </c>
      <c r="N190" s="17" t="inlineStr">
        <is>
          <t>AFIRMATIVO</t>
        </is>
      </c>
      <c r="O190" t="inlineStr">
        <is>
          <t>AFIRMATIVO</t>
        </is>
      </c>
      <c r="Q190" t="inlineStr">
        <is>
          <t>AUSENTE</t>
        </is>
      </c>
      <c r="S190" t="inlineStr">
        <is>
          <t>AUSENTE</t>
        </is>
      </c>
      <c r="V190" s="17" t="inlineStr">
        <is>
          <t>AFIRMATIVO</t>
        </is>
      </c>
      <c r="W190" s="17" t="inlineStr">
        <is>
          <t>AFIRMATIVO</t>
        </is>
      </c>
    </row>
    <row r="191" ht="15.75" customHeight="1" thickBot="1">
      <c r="A191">
        <f>_xlfn.CONCAT(B191,,","," ",C191)</f>
        <v/>
      </c>
      <c r="B191" t="inlineStr">
        <is>
          <t>Picón Martínez</t>
        </is>
      </c>
      <c r="C191" t="inlineStr">
        <is>
          <t>Nancy Viviana</t>
        </is>
      </c>
      <c r="D191" t="inlineStr">
        <is>
          <t>SAN JUAN</t>
        </is>
      </c>
      <c r="E191" s="1" t="n">
        <v>45270</v>
      </c>
      <c r="F191" s="1" t="n">
        <v>46730</v>
      </c>
      <c r="G191" t="inlineStr">
        <is>
          <t>PRODUCCION Y TRABAJO</t>
        </is>
      </c>
      <c r="H191" s="12" t="inlineStr">
        <is>
          <t>PRESUPUESTO Y HACIENDA | MINERIA</t>
        </is>
      </c>
      <c r="I191" t="inlineStr">
        <is>
          <t>AFIRMATIVO</t>
        </is>
      </c>
      <c r="J191" s="17" t="inlineStr">
        <is>
          <t>AFIRMATIVO</t>
        </is>
      </c>
      <c r="L191" t="inlineStr">
        <is>
          <t>AFIRMATIVO</t>
        </is>
      </c>
      <c r="M191" s="9" t="inlineStr">
        <is>
          <t>AFIRMATIVO</t>
        </is>
      </c>
      <c r="N191" s="17" t="inlineStr">
        <is>
          <t>AFIRMATIVO</t>
        </is>
      </c>
      <c r="O191" t="inlineStr">
        <is>
          <t>AFIRMATIVO</t>
        </is>
      </c>
      <c r="Q191" t="inlineStr">
        <is>
          <t>AFIRMATIVO</t>
        </is>
      </c>
      <c r="S191" t="inlineStr">
        <is>
          <t>AFIRMATIVO</t>
        </is>
      </c>
      <c r="V191" s="17" t="inlineStr">
        <is>
          <t>NEGATIVO</t>
        </is>
      </c>
      <c r="W191" s="17" t="inlineStr">
        <is>
          <t>NEGATIVO</t>
        </is>
      </c>
    </row>
    <row r="192" ht="15.75" customHeight="1" thickBot="1">
      <c r="A192">
        <f>_xlfn.CONCAT(B192,,","," ",C192)</f>
        <v/>
      </c>
      <c r="B192" t="inlineStr">
        <is>
          <t>Pietragalla Corti</t>
        </is>
      </c>
      <c r="C192" t="inlineStr">
        <is>
          <t>Horacio</t>
        </is>
      </c>
      <c r="D192" t="inlineStr">
        <is>
          <t>BUENOS AIRES</t>
        </is>
      </c>
      <c r="E192" s="1" t="n">
        <v>46001</v>
      </c>
      <c r="F192" s="1" t="n">
        <v>47461</v>
      </c>
      <c r="G192" t="inlineStr">
        <is>
          <t>UNIÓN POR LA PATRIA</t>
        </is>
      </c>
      <c r="H192" s="12" t="inlineStr">
        <is>
          <t>JUSTICIA | LEGISLACION PENAL | PREVENCION DE ADICCIONES Y CONTROL DEL NARCOTRAFICO | POBLACION Y DESARROLLO HUMANO | DERECHOS HUMANOS Y GARANTIAS | LIBERTAD DE EXPRESION</t>
        </is>
      </c>
      <c r="I192" t="inlineStr">
        <is>
          <t>NEGATIVO</t>
        </is>
      </c>
      <c r="J192" s="17" t="inlineStr">
        <is>
          <t>NEGATIVO</t>
        </is>
      </c>
      <c r="L192" t="inlineStr">
        <is>
          <t>NEGATIVO</t>
        </is>
      </c>
      <c r="M192" s="9" t="inlineStr">
        <is>
          <t>NEGATIVO</t>
        </is>
      </c>
      <c r="N192" s="17" t="inlineStr">
        <is>
          <t>NEGATIVO</t>
        </is>
      </c>
      <c r="O192" t="inlineStr">
        <is>
          <t>NEGATIVO</t>
        </is>
      </c>
      <c r="Q192" t="inlineStr">
        <is>
          <t>NEGATIVO</t>
        </is>
      </c>
      <c r="S192" t="inlineStr">
        <is>
          <t>NEGATIVO</t>
        </is>
      </c>
      <c r="V192" s="17" t="inlineStr">
        <is>
          <t>AFIRMATIVO</t>
        </is>
      </c>
      <c r="W192" s="17" t="inlineStr">
        <is>
          <t>AFIRMATIVO</t>
        </is>
      </c>
    </row>
    <row r="193" ht="15.75" customHeight="1" thickBot="1">
      <c r="A193">
        <f>_xlfn.CONCAT(B193,,","," ",C193)</f>
        <v/>
      </c>
      <c r="B193" t="inlineStr">
        <is>
          <t>Pitrola</t>
        </is>
      </c>
      <c r="C193" t="inlineStr">
        <is>
          <t>Nestor</t>
        </is>
      </c>
      <c r="D193" t="inlineStr">
        <is>
          <t>BUENOS AIRES</t>
        </is>
      </c>
      <c r="E193" s="1" t="n">
        <v>46001</v>
      </c>
      <c r="F193" s="1" t="n">
        <v>46730</v>
      </c>
      <c r="G193" t="inlineStr">
        <is>
          <t>FRENTE DE IZQUIERDA Y DE TRABAJADORES UNIDAD</t>
        </is>
      </c>
      <c r="H193" s="12" t="inlineStr">
        <is>
          <t>LEGISLACION DEL TRABAJO | POBLACION Y DESARROLLO HUMANO | ASUNTOS COOPERATIVOS, MUTUALES Y ORGANIZACIONES NO GUBERNAMENTALES</t>
        </is>
      </c>
      <c r="I193" t="inlineStr">
        <is>
          <t>NEGATIVO</t>
        </is>
      </c>
      <c r="J193" s="17" t="inlineStr">
        <is>
          <t>NEGATIVO</t>
        </is>
      </c>
      <c r="L193" t="inlineStr">
        <is>
          <t>NEGATIVO</t>
        </is>
      </c>
      <c r="M193" s="9" t="inlineStr">
        <is>
          <t>NEGATIVO</t>
        </is>
      </c>
      <c r="N193" s="17" t="inlineStr">
        <is>
          <t>NEGATIVO</t>
        </is>
      </c>
      <c r="O193" t="inlineStr">
        <is>
          <t>NEGATIVO</t>
        </is>
      </c>
      <c r="Q193" t="inlineStr">
        <is>
          <t>NEGATIVO</t>
        </is>
      </c>
      <c r="S193" t="inlineStr">
        <is>
          <t>NEGATIVO</t>
        </is>
      </c>
      <c r="V193" s="17" t="inlineStr">
        <is>
          <t>NEGATIVO</t>
        </is>
      </c>
      <c r="W193" s="17" t="inlineStr">
        <is>
          <t>NEGATIVO</t>
        </is>
      </c>
    </row>
    <row r="194" ht="15.75" customHeight="1" thickBot="1">
      <c r="A194">
        <f>_xlfn.CONCAT(B194,,","," ",C194)</f>
        <v/>
      </c>
      <c r="B194" t="inlineStr">
        <is>
          <t>Pokoik</t>
        </is>
      </c>
      <c r="C194" t="inlineStr">
        <is>
          <t>Lorena</t>
        </is>
      </c>
      <c r="D194" t="inlineStr">
        <is>
          <t>CIUDAD DE BUENOS AIRES</t>
        </is>
      </c>
      <c r="E194" s="1" t="n">
        <v>45270</v>
      </c>
      <c r="F194" s="1" t="n">
        <v>46730</v>
      </c>
      <c r="G194" t="inlineStr">
        <is>
          <t>UNIÓN POR LA PATRIA</t>
        </is>
      </c>
      <c r="H194" s="12" t="inlineStr">
        <is>
          <t>DE LAS PERSONAS MAYORES | COMUNICACIONES E INFORMATICA | POBLACION Y DESARROLLO HUMANO | MERCOSUR | LIBERTAD DE EXPRESION</t>
        </is>
      </c>
      <c r="I194" t="inlineStr">
        <is>
          <t>NEGATIVO</t>
        </is>
      </c>
      <c r="J194" s="17" t="inlineStr">
        <is>
          <t>NEGATIVO</t>
        </is>
      </c>
      <c r="L194" t="inlineStr">
        <is>
          <t>NEGATIVO</t>
        </is>
      </c>
      <c r="M194" s="9" t="inlineStr">
        <is>
          <t>NEGATIVO</t>
        </is>
      </c>
      <c r="N194" s="17" t="inlineStr">
        <is>
          <t>NEGATIVO</t>
        </is>
      </c>
      <c r="O194" t="inlineStr">
        <is>
          <t>NEGATIVO</t>
        </is>
      </c>
      <c r="Q194" t="inlineStr">
        <is>
          <t>NEGATIVO</t>
        </is>
      </c>
      <c r="S194" t="inlineStr">
        <is>
          <t>NEGATIVO</t>
        </is>
      </c>
      <c r="V194" s="17" t="inlineStr">
        <is>
          <t>NEGATIVO</t>
        </is>
      </c>
      <c r="W194" s="17" t="inlineStr">
        <is>
          <t>NEGATIVO</t>
        </is>
      </c>
    </row>
    <row r="195" ht="15.75" customHeight="1" thickBot="1">
      <c r="A195">
        <f>_xlfn.CONCAT(B195,,","," ",C195)</f>
        <v/>
      </c>
      <c r="B195" t="inlineStr">
        <is>
          <t>Ponce</t>
        </is>
      </c>
      <c r="C195" t="inlineStr">
        <is>
          <t>María Celeste</t>
        </is>
      </c>
      <c r="D195" t="inlineStr">
        <is>
          <t>CORDOBA</t>
        </is>
      </c>
      <c r="E195" s="1" t="n">
        <v>45270</v>
      </c>
      <c r="F195" s="1" t="n">
        <v>46730</v>
      </c>
      <c r="G195" t="inlineStr">
        <is>
          <t>LA LIBERTAD AVANZA</t>
        </is>
      </c>
      <c r="H195" s="12" t="inlineStr">
        <is>
          <t>RELACIONES EXTERIORES Y CULTO | DEFENSA NACIONAL | DERECHOS HUMANOS Y GARANTIAS</t>
        </is>
      </c>
      <c r="I195" t="inlineStr">
        <is>
          <t>AFIRMATIVO</t>
        </is>
      </c>
      <c r="J195" s="17" t="inlineStr">
        <is>
          <t>AFIRMATIVO</t>
        </is>
      </c>
      <c r="L195" t="inlineStr">
        <is>
          <t>AFIRMATIVO</t>
        </is>
      </c>
      <c r="M195" s="9" t="inlineStr">
        <is>
          <t>AFIRMATIVO</t>
        </is>
      </c>
      <c r="N195" s="17" t="inlineStr">
        <is>
          <t>AFIRMATIVO</t>
        </is>
      </c>
      <c r="O195" t="inlineStr">
        <is>
          <t>AFIRMATIVO</t>
        </is>
      </c>
      <c r="Q195" t="inlineStr">
        <is>
          <t>AFIRMATIVO</t>
        </is>
      </c>
      <c r="S195" t="inlineStr">
        <is>
          <t>AFIRMATIVO</t>
        </is>
      </c>
      <c r="V195" s="17" t="inlineStr">
        <is>
          <t>NEGATIVO</t>
        </is>
      </c>
      <c r="W195" s="17" t="inlineStr">
        <is>
          <t>NEGATIVO</t>
        </is>
      </c>
    </row>
    <row r="196" ht="15.75" customHeight="1" thickBot="1">
      <c r="A196">
        <f>_xlfn.CONCAT(B196,,","," ",C196)</f>
        <v/>
      </c>
      <c r="B196" t="inlineStr">
        <is>
          <t>Potenza</t>
        </is>
      </c>
      <c r="C196" t="inlineStr">
        <is>
          <t>Luciana</t>
        </is>
      </c>
      <c r="D196" t="inlineStr">
        <is>
          <t>BUENOS AIRES</t>
        </is>
      </c>
      <c r="E196" s="1" t="n">
        <v>45270</v>
      </c>
      <c r="F196" s="1" t="n">
        <v>46730</v>
      </c>
      <c r="G196" t="inlineStr">
        <is>
          <t>UNIÓN POR LA PATRIA</t>
        </is>
      </c>
      <c r="H196" s="12" t="inlineStr">
        <is>
          <t>PRESUPUESTO Y HACIENDA | CIENCIA, TECNOLOGIA E INNOVACION PRODUCTIVA | COMUNICACIONES E INFORMATICA | PETICIONES, PODERES Y REGLAMENTO</t>
        </is>
      </c>
      <c r="I196" t="inlineStr">
        <is>
          <t>NEGATIVO</t>
        </is>
      </c>
      <c r="J196" s="17" t="inlineStr">
        <is>
          <t>NEGATIVO</t>
        </is>
      </c>
      <c r="L196" t="inlineStr">
        <is>
          <t>NEGATIVO</t>
        </is>
      </c>
      <c r="M196" s="9" t="inlineStr">
        <is>
          <t>NEGATIVO</t>
        </is>
      </c>
      <c r="N196" s="17" t="inlineStr">
        <is>
          <t>NEGATIVO</t>
        </is>
      </c>
      <c r="O196" t="inlineStr">
        <is>
          <t>NEGATIVO</t>
        </is>
      </c>
      <c r="Q196" t="inlineStr">
        <is>
          <t>NEGATIVO</t>
        </is>
      </c>
      <c r="S196" t="inlineStr">
        <is>
          <t>NEGATIVO</t>
        </is>
      </c>
      <c r="V196" s="17" t="inlineStr">
        <is>
          <t>AFIRMATIVO</t>
        </is>
      </c>
      <c r="W196" s="17" t="inlineStr">
        <is>
          <t>AFIRMATIVO</t>
        </is>
      </c>
    </row>
    <row r="197" ht="15.75" customHeight="1" thickBot="1">
      <c r="A197">
        <f>_xlfn.CONCAT(B197,,","," ",C197)</f>
        <v/>
      </c>
      <c r="B197" t="inlineStr">
        <is>
          <t>Propato</t>
        </is>
      </c>
      <c r="C197" t="inlineStr">
        <is>
          <t>Agustina Lucrecia</t>
        </is>
      </c>
      <c r="D197" t="inlineStr">
        <is>
          <t>BUENOS AIRES</t>
        </is>
      </c>
      <c r="E197" s="1" t="n">
        <v>46001</v>
      </c>
      <c r="F197" s="1" t="n">
        <v>47461</v>
      </c>
      <c r="G197" t="inlineStr">
        <is>
          <t>UNIÓN POR LA PATRIA</t>
        </is>
      </c>
      <c r="H197" s="12" t="inlineStr">
        <is>
          <t>ASUNTOS CONSTITUCIONALES | RELACIONES EXTERIORES Y CULTO | DEFENSA NACIONAL | TRANSPORTES | INTERESES MARITIMOS, FLUVIALES, PESQUEROS Y PORTUARIOS | SEGURIDAD INTERIOR</t>
        </is>
      </c>
      <c r="I197" t="inlineStr">
        <is>
          <t>NEGATIVO</t>
        </is>
      </c>
      <c r="J197" s="17" t="inlineStr">
        <is>
          <t>NEGATIVO</t>
        </is>
      </c>
      <c r="L197" t="inlineStr">
        <is>
          <t>NEGATIVO</t>
        </is>
      </c>
      <c r="M197" s="9" t="inlineStr">
        <is>
          <t>NEGATIVO</t>
        </is>
      </c>
      <c r="N197" s="17" t="inlineStr">
        <is>
          <t>NEGATIVO</t>
        </is>
      </c>
      <c r="O197" t="inlineStr">
        <is>
          <t>NEGATIVO</t>
        </is>
      </c>
      <c r="Q197" t="inlineStr">
        <is>
          <t>NEGATIVO</t>
        </is>
      </c>
      <c r="S197" t="inlineStr">
        <is>
          <t>NEGATIVO</t>
        </is>
      </c>
      <c r="V197" s="17" t="inlineStr">
        <is>
          <t>NEGATIVO</t>
        </is>
      </c>
      <c r="W197" s="17" t="inlineStr">
        <is>
          <t>NEGATIVO</t>
        </is>
      </c>
    </row>
    <row r="198" ht="15.75" customHeight="1" thickBot="1">
      <c r="A198">
        <f>_xlfn.CONCAT(B198,,","," ",C198)</f>
        <v/>
      </c>
      <c r="B198" t="inlineStr">
        <is>
          <t>Quintar</t>
        </is>
      </c>
      <c r="C198" t="inlineStr">
        <is>
          <t>Manuel</t>
        </is>
      </c>
      <c r="D198" t="inlineStr">
        <is>
          <t>JUJUY</t>
        </is>
      </c>
      <c r="E198" s="1" t="n">
        <v>45270</v>
      </c>
      <c r="F198" s="1" t="n">
        <v>46730</v>
      </c>
      <c r="G198" t="inlineStr">
        <is>
          <t>LA LIBERTAD AVANZA</t>
        </is>
      </c>
      <c r="H198" s="12" t="inlineStr">
        <is>
          <t>JUSTICIA | ACCION SOCIAL Y SALUD PUBLICA | LEGISLACION PENAL | PETICIONES, PODERES Y REGLAMENTO | ANALISIS Y SEGUIMIENTO DEL CUMPLIMIENTO DE NORMAS TRIBUTARIAS Y PREVISIONALES</t>
        </is>
      </c>
      <c r="I198" t="inlineStr">
        <is>
          <t>AFIRMATIVO</t>
        </is>
      </c>
      <c r="J198" s="17" t="inlineStr">
        <is>
          <t>AFIRMATIVO</t>
        </is>
      </c>
      <c r="L198" t="inlineStr">
        <is>
          <t>AFIRMATIVO</t>
        </is>
      </c>
      <c r="M198" s="9" t="inlineStr">
        <is>
          <t>AFIRMATIVO</t>
        </is>
      </c>
      <c r="N198" s="17" t="inlineStr">
        <is>
          <t>AFIRMATIVO</t>
        </is>
      </c>
      <c r="O198" t="inlineStr">
        <is>
          <t>AFIRMATIVO</t>
        </is>
      </c>
      <c r="Q198" t="inlineStr">
        <is>
          <t>AFIRMATIVO</t>
        </is>
      </c>
      <c r="S198" t="inlineStr">
        <is>
          <t>AFIRMATIVO</t>
        </is>
      </c>
      <c r="V198" s="17" t="inlineStr">
        <is>
          <t>NEGATIVO</t>
        </is>
      </c>
      <c r="W198" s="17" t="inlineStr">
        <is>
          <t>NEGATIVO</t>
        </is>
      </c>
    </row>
    <row r="199" ht="15.75" customHeight="1" thickBot="1">
      <c r="A199">
        <f>_xlfn.CONCAT(B199,,","," ",C199)</f>
        <v/>
      </c>
      <c r="B199" t="inlineStr">
        <is>
          <t>Rauschenberger</t>
        </is>
      </c>
      <c r="C199" t="inlineStr">
        <is>
          <t>Ariel</t>
        </is>
      </c>
      <c r="D199" t="inlineStr">
        <is>
          <t>LA PAMPA</t>
        </is>
      </c>
      <c r="E199" s="1" t="n">
        <v>45270</v>
      </c>
      <c r="F199" s="1" t="n">
        <v>46730</v>
      </c>
      <c r="G199" t="inlineStr">
        <is>
          <t>UNIÓN POR LA PATRIA</t>
        </is>
      </c>
      <c r="H199" s="12" t="inlineStr">
        <is>
          <t>PRESUPUESTO Y HACIENDA | COMERCIO | ECONOMIA | ANALISIS Y SEGUIMIENTO DEL CUMPLIMIENTO DE NORMAS TRIBUTARIAS Y PREVISIONALES | PEQUEÑAS Y MEDIANAS EMPRESAS</t>
        </is>
      </c>
      <c r="I199" t="inlineStr">
        <is>
          <t>NEGATIVO</t>
        </is>
      </c>
      <c r="J199" s="17" t="inlineStr">
        <is>
          <t>NEGATIVO</t>
        </is>
      </c>
      <c r="L199" t="inlineStr">
        <is>
          <t>NEGATIVO</t>
        </is>
      </c>
      <c r="M199" s="9" t="inlineStr">
        <is>
          <t>NEGATIVO</t>
        </is>
      </c>
      <c r="N199" s="17" t="inlineStr">
        <is>
          <t>NEGATIVO</t>
        </is>
      </c>
      <c r="O199" t="inlineStr">
        <is>
          <t>AFIRMATIVO</t>
        </is>
      </c>
      <c r="Q199" t="inlineStr">
        <is>
          <t>NEGATIVO</t>
        </is>
      </c>
      <c r="S199" t="inlineStr">
        <is>
          <t>NEGATIVO</t>
        </is>
      </c>
      <c r="V199" s="17" t="inlineStr">
        <is>
          <t>AFIRMATIVO</t>
        </is>
      </c>
      <c r="W199" s="17" t="inlineStr">
        <is>
          <t>AFIRMATIVO</t>
        </is>
      </c>
    </row>
    <row r="200" ht="15.75" customHeight="1" thickBot="1">
      <c r="A200">
        <f>_xlfn.CONCAT(B200,,","," ",C200)</f>
        <v/>
      </c>
      <c r="B200" t="inlineStr">
        <is>
          <t>Ravera</t>
        </is>
      </c>
      <c r="C200" t="inlineStr">
        <is>
          <t>Valentina</t>
        </is>
      </c>
      <c r="D200" t="inlineStr">
        <is>
          <t>SANTA FE</t>
        </is>
      </c>
      <c r="E200" s="1" t="n">
        <v>46001</v>
      </c>
      <c r="F200" s="1" t="n">
        <v>47461</v>
      </c>
      <c r="G200" t="inlineStr">
        <is>
          <t>LA LIBERTAD AVANZA</t>
        </is>
      </c>
      <c r="H200" s="10" t="inlineStr">
        <is>
          <t>LEGISLACION DEL TRABAJO | DEFENSA NACIONAL | OBRAS PUBLICAS | ECONOMIAS Y DESARROLLO REGIONAL | VIVIENDA Y ORDENAMIENTO URBANO | ECONOMIA | PREVENCION DE ADICCIONES Y CONTROL DEL NARCOTRAFICO | ANALISIS Y SEGUIMIENTO DEL CUMPLIMIENTO DE NORMAS TRIBUTARIAS Y PREVISIONALES | DERECHOS HUMANOS Y GARANTIAS | ASUNTOS COOPERATIVOS, MUTUALES Y ORGANIZACIONES NO GUBERNAMENTALES | MUJERES Y DIVERSIDAD</t>
        </is>
      </c>
      <c r="I200" t="inlineStr">
        <is>
          <t>AFIRMATIVO</t>
        </is>
      </c>
      <c r="J200" s="17" t="inlineStr">
        <is>
          <t>AFIRMATIVO</t>
        </is>
      </c>
      <c r="L200" t="inlineStr">
        <is>
          <t>AFIRMATIVO</t>
        </is>
      </c>
      <c r="M200" s="9" t="inlineStr">
        <is>
          <t>AFIRMATIVO</t>
        </is>
      </c>
      <c r="N200" s="17" t="inlineStr">
        <is>
          <t>AFIRMATIVO</t>
        </is>
      </c>
      <c r="O200" t="inlineStr">
        <is>
          <t>AFIRMATIVO</t>
        </is>
      </c>
      <c r="Q200" t="inlineStr">
        <is>
          <t>AFIRMATIVO</t>
        </is>
      </c>
      <c r="S200" t="inlineStr">
        <is>
          <t>AFIRMATIVO</t>
        </is>
      </c>
      <c r="V200" s="17" t="inlineStr">
        <is>
          <t>NEGATIVO</t>
        </is>
      </c>
      <c r="W200" s="17" t="inlineStr">
        <is>
          <t>NEGATIVO</t>
        </is>
      </c>
    </row>
    <row r="201" ht="15.75" customHeight="1" thickBot="1">
      <c r="A201">
        <f>_xlfn.CONCAT(B201,,","," ",C201)</f>
        <v/>
      </c>
      <c r="B201" t="inlineStr">
        <is>
          <t>Ravier</t>
        </is>
      </c>
      <c r="C201" t="inlineStr">
        <is>
          <t>Adrián</t>
        </is>
      </c>
      <c r="D201" t="inlineStr">
        <is>
          <t>LA PAMPA</t>
        </is>
      </c>
      <c r="E201" s="1" t="n">
        <v>46001</v>
      </c>
      <c r="F201" s="1" t="n">
        <v>47461</v>
      </c>
      <c r="G201" t="inlineStr">
        <is>
          <t>LA LIBERTAD AVANZA</t>
        </is>
      </c>
      <c r="H201" s="12" t="inlineStr">
        <is>
          <t>PRESUPUESTO Y HACIENDA | EDUCACION | PREVISION Y SEGURIDAD SOCIAL | VIVIENDA Y ORDENAMIENTO URBANO | ECONOMIA | ANALISIS Y SEGUIMIENTO DEL CUMPLIMIENTO DE NORMAS TRIBUTARIAS Y PREVISIONALES | DEFENSA DEL CONSUMIDOR, DEL USUARIO Y DE LA COMPETENCIA</t>
        </is>
      </c>
      <c r="I201" t="inlineStr">
        <is>
          <t>AFIRMATIVO</t>
        </is>
      </c>
      <c r="J201" s="17" t="inlineStr">
        <is>
          <t>AFIRMATIVO</t>
        </is>
      </c>
      <c r="L201" t="inlineStr">
        <is>
          <t>AFIRMATIVO</t>
        </is>
      </c>
      <c r="M201" s="9" t="inlineStr">
        <is>
          <t>AFIRMATIVO</t>
        </is>
      </c>
      <c r="N201" s="17" t="inlineStr">
        <is>
          <t>AFIRMATIVO</t>
        </is>
      </c>
      <c r="O201" t="inlineStr">
        <is>
          <t>AFIRMATIVO</t>
        </is>
      </c>
      <c r="Q201" t="inlineStr">
        <is>
          <t>AFIRMATIVO</t>
        </is>
      </c>
      <c r="S201" t="inlineStr">
        <is>
          <t>AFIRMATIVO</t>
        </is>
      </c>
      <c r="V201" s="17" t="inlineStr">
        <is>
          <t>AFIRMATIVO</t>
        </is>
      </c>
      <c r="W201" s="17" t="inlineStr">
        <is>
          <t>AFIRMATIVO</t>
        </is>
      </c>
    </row>
    <row r="202" ht="15.75" customHeight="1" thickBot="1">
      <c r="A202">
        <f>_xlfn.CONCAT(B202,,","," ",C202)</f>
        <v/>
      </c>
      <c r="B202" t="inlineStr">
        <is>
          <t>Razzini</t>
        </is>
      </c>
      <c r="C202" t="inlineStr">
        <is>
          <t>Verónica</t>
        </is>
      </c>
      <c r="D202" t="inlineStr">
        <is>
          <t>SANTA FE</t>
        </is>
      </c>
      <c r="E202" s="1" t="n">
        <v>45270</v>
      </c>
      <c r="F202" s="1" t="n">
        <v>46730</v>
      </c>
      <c r="G202" t="inlineStr">
        <is>
          <t>LA LIBERTAD AVANZA</t>
        </is>
      </c>
      <c r="H202" s="12" t="inlineStr">
        <is>
          <t>LEGISLACION DEL TRABAJO | OBRAS PUBLICAS | INDUSTRIA | COMERCIO | TRANSPORTES | PEQUEÑAS Y MEDIANAS EMPRESAS</t>
        </is>
      </c>
      <c r="I202" t="inlineStr">
        <is>
          <t>AFIRMATIVO</t>
        </is>
      </c>
      <c r="J202" s="17" t="inlineStr">
        <is>
          <t>AFIRMATIVO</t>
        </is>
      </c>
      <c r="L202" t="inlineStr">
        <is>
          <t>AFIRMATIVO</t>
        </is>
      </c>
      <c r="M202" s="9" t="inlineStr">
        <is>
          <t>AFIRMATIVO</t>
        </is>
      </c>
      <c r="N202" s="17" t="inlineStr">
        <is>
          <t>AFIRMATIVO</t>
        </is>
      </c>
      <c r="O202" t="inlineStr">
        <is>
          <t>AFIRMATIVO</t>
        </is>
      </c>
      <c r="Q202" t="inlineStr">
        <is>
          <t>AFIRMATIVO</t>
        </is>
      </c>
      <c r="S202" t="inlineStr">
        <is>
          <t>AFIRMATIVO</t>
        </is>
      </c>
      <c r="V202" s="17" t="inlineStr">
        <is>
          <t>AFIRMATIVO</t>
        </is>
      </c>
      <c r="W202" s="17" t="inlineStr">
        <is>
          <t>AFIRMATIVO</t>
        </is>
      </c>
    </row>
    <row r="203" ht="15.75" customHeight="1" thickBot="1">
      <c r="A203">
        <f>_xlfn.CONCAT(B203,,","," ",C203)</f>
        <v/>
      </c>
      <c r="B203" t="inlineStr">
        <is>
          <t>Reichardt</t>
        </is>
      </c>
      <c r="C203" t="inlineStr">
        <is>
          <t>Karen</t>
        </is>
      </c>
      <c r="D203" t="inlineStr">
        <is>
          <t>BUENOS AIRES</t>
        </is>
      </c>
      <c r="E203" s="1" t="n">
        <v>46001</v>
      </c>
      <c r="F203" s="1" t="n">
        <v>47461</v>
      </c>
      <c r="G203" t="inlineStr">
        <is>
          <t>LA LIBERTAD AVANZA</t>
        </is>
      </c>
      <c r="H203" s="10" t="inlineStr">
        <is>
          <t>FAMILIAS, NIÑEZ Y JUVENTUDES | RECURSOS NATURALES Y CONSERVACION DEL AMBIENTE HUMANO | TURISMO | ANALISIS Y SEGUIMIENTO DEL CUMPLIMIENTO DE NORMAS TRIBUTARIAS Y PREVISIONALES | ASUNTOS COOPERATIVOS, MUTUALES Y ORGANIZACIONES NO GUBERNAMENTALES | DISCAPACIDAD | MUJERES Y DIVERSIDAD</t>
        </is>
      </c>
      <c r="I203" t="inlineStr">
        <is>
          <t>AFIRMATIVO</t>
        </is>
      </c>
      <c r="J203" s="17" t="inlineStr">
        <is>
          <t>AFIRMATIVO</t>
        </is>
      </c>
      <c r="L203" t="inlineStr">
        <is>
          <t>AFIRMATIVO</t>
        </is>
      </c>
      <c r="M203" s="9" t="inlineStr">
        <is>
          <t>AFIRMATIVO</t>
        </is>
      </c>
      <c r="N203" s="17" t="inlineStr">
        <is>
          <t>AFIRMATIVO</t>
        </is>
      </c>
      <c r="O203" t="inlineStr">
        <is>
          <t>AFIRMATIVO</t>
        </is>
      </c>
      <c r="Q203" t="inlineStr">
        <is>
          <t>AFIRMATIVO</t>
        </is>
      </c>
      <c r="S203" t="inlineStr">
        <is>
          <t>AFIRMATIVO</t>
        </is>
      </c>
      <c r="V203" s="17" t="inlineStr">
        <is>
          <t>AFIRMATIVO</t>
        </is>
      </c>
      <c r="W203" s="17" t="inlineStr">
        <is>
          <t>AFIRMATIVO</t>
        </is>
      </c>
    </row>
    <row r="204" ht="15.75" customHeight="1" thickBot="1">
      <c r="A204">
        <f>_xlfn.CONCAT(B204,,","," ",C204)</f>
        <v/>
      </c>
      <c r="B204" t="inlineStr">
        <is>
          <t>Riesco</t>
        </is>
      </c>
      <c r="C204" t="inlineStr">
        <is>
          <t>Gastón</t>
        </is>
      </c>
      <c r="D204" t="inlineStr">
        <is>
          <t>NEUQUEN</t>
        </is>
      </c>
      <c r="E204" s="1" t="n">
        <v>46001</v>
      </c>
      <c r="F204" s="1" t="n">
        <v>47461</v>
      </c>
      <c r="G204" t="inlineStr">
        <is>
          <t>LA LIBERTAD AVANZA</t>
        </is>
      </c>
      <c r="H204" s="12" t="inlineStr">
        <is>
          <t>RELACIONES EXTERIORES Y CULTO | OBRAS PUBLICAS | FINANZAS | ENERGIA Y COMBUSTIBLES | ECONOMIAS Y DESARROLLO REGIONAL | POBLACION Y DESARROLLO HUMANO | MERCOSUR</t>
        </is>
      </c>
      <c r="I204" t="inlineStr">
        <is>
          <t>AFIRMATIVO</t>
        </is>
      </c>
      <c r="J204" s="17" t="inlineStr">
        <is>
          <t>AFIRMATIVO</t>
        </is>
      </c>
      <c r="L204" t="inlineStr">
        <is>
          <t>AFIRMATIVO</t>
        </is>
      </c>
      <c r="M204" s="9" t="inlineStr">
        <is>
          <t>AFIRMATIVO</t>
        </is>
      </c>
      <c r="N204" s="17" t="inlineStr">
        <is>
          <t>AFIRMATIVO</t>
        </is>
      </c>
      <c r="O204" t="inlineStr">
        <is>
          <t>AFIRMATIVO</t>
        </is>
      </c>
      <c r="Q204" t="inlineStr">
        <is>
          <t>AFIRMATIVO</t>
        </is>
      </c>
      <c r="S204" t="inlineStr">
        <is>
          <t>AFIRMATIVO</t>
        </is>
      </c>
      <c r="V204" s="17" t="inlineStr">
        <is>
          <t>AFIRMATIVO</t>
        </is>
      </c>
      <c r="W204" s="17" t="inlineStr">
        <is>
          <t>AFIRMATIVO</t>
        </is>
      </c>
    </row>
    <row r="205" ht="15.75" customHeight="1" thickBot="1">
      <c r="A205">
        <f>_xlfn.CONCAT(B205,,","," ",C205)</f>
        <v/>
      </c>
      <c r="B205" t="inlineStr">
        <is>
          <t>Ritondo</t>
        </is>
      </c>
      <c r="C205" t="inlineStr">
        <is>
          <t>Cristian A.</t>
        </is>
      </c>
      <c r="D205" t="inlineStr">
        <is>
          <t>BUENOS AIRES</t>
        </is>
      </c>
      <c r="E205" s="1" t="n">
        <v>45270</v>
      </c>
      <c r="F205" s="1" t="n">
        <v>46730</v>
      </c>
      <c r="G205" t="inlineStr">
        <is>
          <t>PRO</t>
        </is>
      </c>
      <c r="H205" s="12" t="inlineStr">
        <is>
          <t>LEGISLACION PENAL</t>
        </is>
      </c>
      <c r="I205" t="inlineStr">
        <is>
          <t>AFIRMATIVO</t>
        </is>
      </c>
      <c r="J205" s="17" t="inlineStr">
        <is>
          <t>AFIRMATIVO</t>
        </is>
      </c>
      <c r="L205" t="inlineStr">
        <is>
          <t>AFIRMATIVO</t>
        </is>
      </c>
      <c r="M205" s="9" t="inlineStr">
        <is>
          <t>AFIRMATIVO</t>
        </is>
      </c>
      <c r="N205" s="17" t="inlineStr">
        <is>
          <t>AFIRMATIVO</t>
        </is>
      </c>
      <c r="O205" t="inlineStr">
        <is>
          <t>AFIRMATIVO</t>
        </is>
      </c>
      <c r="Q205" t="inlineStr">
        <is>
          <t>AFIRMATIVO</t>
        </is>
      </c>
      <c r="S205" t="inlineStr">
        <is>
          <t>AFIRMATIVO</t>
        </is>
      </c>
      <c r="V205" s="17" t="inlineStr">
        <is>
          <t>AFIRMATIVO</t>
        </is>
      </c>
      <c r="W205" s="17" t="inlineStr">
        <is>
          <t>AFIRMATIVO</t>
        </is>
      </c>
    </row>
    <row r="206" ht="15.75" customHeight="1" thickBot="1">
      <c r="A206">
        <f>_xlfn.CONCAT(B206,,","," ",C206)</f>
        <v/>
      </c>
      <c r="B206" t="inlineStr">
        <is>
          <t>Rizzotti</t>
        </is>
      </c>
      <c r="C206" t="inlineStr">
        <is>
          <t>Jorge</t>
        </is>
      </c>
      <c r="D206" t="inlineStr">
        <is>
          <t>JUJUY</t>
        </is>
      </c>
      <c r="E206" s="1" t="n">
        <v>45270</v>
      </c>
      <c r="F206" s="1" t="n">
        <v>46730</v>
      </c>
      <c r="G206" t="inlineStr">
        <is>
          <t>PROVINCIAS UNIDAS</t>
        </is>
      </c>
      <c r="H206" s="12" t="inlineStr">
        <is>
          <t>PRESUPUESTO Y HACIENDA | OBRAS PUBLICAS | FINANZAS | COMERCIO | TRANSPORTES | MINERIA | ANALISIS Y SEGUIMIENTO DEL CUMPLIMIENTO DE NORMAS TRIBUTARIAS Y PREVISIONALES</t>
        </is>
      </c>
      <c r="I206" t="inlineStr">
        <is>
          <t>ABSTENCIÓN</t>
        </is>
      </c>
      <c r="J206" s="17" t="inlineStr">
        <is>
          <t>NEGATIVO</t>
        </is>
      </c>
      <c r="L206" t="inlineStr">
        <is>
          <t>AFIRMATIVO</t>
        </is>
      </c>
      <c r="M206" s="9" t="inlineStr">
        <is>
          <t>AFIRMATIVO</t>
        </is>
      </c>
      <c r="N206" s="17" t="inlineStr">
        <is>
          <t>AFIRMATIVO</t>
        </is>
      </c>
      <c r="O206" t="inlineStr">
        <is>
          <t>AUSENTE</t>
        </is>
      </c>
      <c r="Q206" t="inlineStr">
        <is>
          <t>AUSENTE</t>
        </is>
      </c>
      <c r="S206" t="inlineStr">
        <is>
          <t>AUSENTE</t>
        </is>
      </c>
      <c r="V206" s="17" t="inlineStr">
        <is>
          <t>ABSTENCION</t>
        </is>
      </c>
      <c r="W206" s="17" t="inlineStr">
        <is>
          <t>AUSENTE</t>
        </is>
      </c>
    </row>
    <row r="207" ht="15.75" customHeight="1" thickBot="1">
      <c r="A207">
        <f>_xlfn.CONCAT(B207,,","," ",C207)</f>
        <v/>
      </c>
      <c r="B207" t="inlineStr">
        <is>
          <t>Roberto</t>
        </is>
      </c>
      <c r="C207" t="inlineStr">
        <is>
          <t>Santiago Luis</t>
        </is>
      </c>
      <c r="D207" t="inlineStr">
        <is>
          <t>CIUDAD DE BUENOS AIRES</t>
        </is>
      </c>
      <c r="E207" s="1" t="n">
        <v>46001</v>
      </c>
      <c r="F207" s="1" t="n">
        <v>47461</v>
      </c>
      <c r="G207" t="inlineStr">
        <is>
          <t>UNIÓN POR LA PATRIA</t>
        </is>
      </c>
      <c r="H207" s="12" t="inlineStr">
        <is>
          <t>FAMILIAS, NIÑEZ Y JUVENTUDES | DE LAS PERSONAS MAYORES | COMERCIO | VIVIENDA Y ORDENAMIENTO URBANO | DERECHOS HUMANOS Y GARANTIAS | PEQUEÑAS Y MEDIANAS EMPRESAS | LIBERTAD DE EXPRESION</t>
        </is>
      </c>
      <c r="I207" t="inlineStr">
        <is>
          <t>NEGATIVO</t>
        </is>
      </c>
      <c r="J207" s="17" t="inlineStr">
        <is>
          <t>NEGATIVO</t>
        </is>
      </c>
      <c r="L207" t="inlineStr">
        <is>
          <t>NEGATIVO</t>
        </is>
      </c>
      <c r="M207" s="9" t="inlineStr">
        <is>
          <t>NEGATIVO</t>
        </is>
      </c>
      <c r="N207" s="17" t="inlineStr">
        <is>
          <t>NEGATIVO</t>
        </is>
      </c>
      <c r="O207" t="inlineStr">
        <is>
          <t>NEGATIVO</t>
        </is>
      </c>
      <c r="Q207" t="inlineStr">
        <is>
          <t>NEGATIVO</t>
        </is>
      </c>
      <c r="S207" t="inlineStr">
        <is>
          <t>NEGATIVO</t>
        </is>
      </c>
      <c r="V207" s="17" t="inlineStr">
        <is>
          <t>NEGATIVO</t>
        </is>
      </c>
      <c r="W207" s="17" t="inlineStr">
        <is>
          <t>NEGATIVO</t>
        </is>
      </c>
    </row>
    <row r="208" ht="15.75" customHeight="1" thickBot="1">
      <c r="A208">
        <f>_xlfn.CONCAT(B208,,","," ",C208)</f>
        <v/>
      </c>
      <c r="B208" t="inlineStr">
        <is>
          <t>Roca</t>
        </is>
      </c>
      <c r="C208" t="inlineStr">
        <is>
          <t>Gonzalo</t>
        </is>
      </c>
      <c r="D208" t="inlineStr">
        <is>
          <t>CORDOBA</t>
        </is>
      </c>
      <c r="E208" s="1" t="n">
        <v>46001</v>
      </c>
      <c r="F208" s="1" t="n">
        <v>47461</v>
      </c>
      <c r="G208" t="inlineStr">
        <is>
          <t>LA LIBERTAD AVANZA</t>
        </is>
      </c>
      <c r="H208" s="12" t="inlineStr">
        <is>
          <t>LEGISLACION DEL TRABAJO | ENERGIA Y COMBUSTIBLES | JUICIO POLITICO</t>
        </is>
      </c>
      <c r="I208" t="inlineStr">
        <is>
          <t>AFIRMATIVO</t>
        </is>
      </c>
      <c r="J208" s="17" t="inlineStr">
        <is>
          <t>AFIRMATIVO</t>
        </is>
      </c>
      <c r="L208" t="inlineStr">
        <is>
          <t>AFIRMATIVO</t>
        </is>
      </c>
      <c r="M208" s="9" t="inlineStr">
        <is>
          <t>AFIRMATIVO</t>
        </is>
      </c>
      <c r="N208" s="17" t="inlineStr">
        <is>
          <t>AFIRMATIVO</t>
        </is>
      </c>
      <c r="O208" t="inlineStr">
        <is>
          <t>AFIRMATIVO</t>
        </is>
      </c>
      <c r="Q208" t="inlineStr">
        <is>
          <t>AFIRMATIVO</t>
        </is>
      </c>
      <c r="S208" t="inlineStr">
        <is>
          <t>AFIRMATIVO</t>
        </is>
      </c>
      <c r="V208" s="17" t="inlineStr">
        <is>
          <t>AFIRMATIVO</t>
        </is>
      </c>
      <c r="W208" s="17" t="inlineStr">
        <is>
          <t>AFIRMATIVO</t>
        </is>
      </c>
    </row>
    <row r="209" ht="15.75" customHeight="1" thickBot="1">
      <c r="A209">
        <f>_xlfn.CONCAT(B209,,","," ",C209)</f>
        <v/>
      </c>
      <c r="B209" t="inlineStr">
        <is>
          <t>Rodríguez Machado</t>
        </is>
      </c>
      <c r="C209" t="inlineStr">
        <is>
          <t>Laura Elena</t>
        </is>
      </c>
      <c r="D209" t="inlineStr">
        <is>
          <t>CORDOBA</t>
        </is>
      </c>
      <c r="E209" s="1" t="n">
        <v>46001</v>
      </c>
      <c r="F209" s="1" t="n">
        <v>47461</v>
      </c>
      <c r="G209" t="inlineStr">
        <is>
          <t>LA LIBERTAD AVANZA</t>
        </is>
      </c>
      <c r="H209" s="12" t="inlineStr">
        <is>
          <t>PRESUPUESTO Y HACIENDA | LEGISLACION DEL TRABAJO</t>
        </is>
      </c>
      <c r="I209" t="inlineStr">
        <is>
          <t>AFIRMATIVO</t>
        </is>
      </c>
      <c r="J209" s="17" t="inlineStr">
        <is>
          <t>AFIRMATIVO</t>
        </is>
      </c>
      <c r="L209" t="inlineStr">
        <is>
          <t>AFIRMATIVO</t>
        </is>
      </c>
      <c r="M209" s="9" t="inlineStr">
        <is>
          <t>AFIRMATIVO</t>
        </is>
      </c>
      <c r="N209" s="17" t="inlineStr">
        <is>
          <t>AFIRMATIVO</t>
        </is>
      </c>
      <c r="O209" t="inlineStr">
        <is>
          <t>AFIRMATIVO</t>
        </is>
      </c>
      <c r="Q209" t="inlineStr">
        <is>
          <t>AFIRMATIVO</t>
        </is>
      </c>
      <c r="S209" t="inlineStr">
        <is>
          <t>AFIRMATIVO</t>
        </is>
      </c>
      <c r="V209" s="17" t="inlineStr">
        <is>
          <t>AFIRMATIVO</t>
        </is>
      </c>
      <c r="W209" s="17" t="inlineStr">
        <is>
          <t>AFIRMATIVO</t>
        </is>
      </c>
    </row>
    <row r="210" ht="15.75" customHeight="1" thickBot="1">
      <c r="A210">
        <f>_xlfn.CONCAT(B210,,","," ",C210)</f>
        <v/>
      </c>
      <c r="B210" t="inlineStr">
        <is>
          <t>Rodríguez</t>
        </is>
      </c>
      <c r="C210" t="inlineStr">
        <is>
          <t>Miguel</t>
        </is>
      </c>
      <c r="D210" t="inlineStr">
        <is>
          <t>TIERRA DEL FUEGO</t>
        </is>
      </c>
      <c r="E210" s="1" t="n">
        <v>46001</v>
      </c>
      <c r="F210" s="1" t="n">
        <v>47461</v>
      </c>
      <c r="G210" t="inlineStr">
        <is>
          <t>LA LIBERTAD AVANZA</t>
        </is>
      </c>
      <c r="H210" s="12" t="inlineStr">
        <is>
          <t>CULTURA | DEFENSA NACIONAL | ASUNTOS MUNICIPALES | VIVIENDA Y ORDENAMIENTO URBANO | PREVENCION DE ADICCIONES Y CONTROL DEL NARCOTRAFICO | ASUNTOS COOPERATIVOS, MUTUALES Y ORGANIZACIONES NO GUBERNAMENTALES | SEGURIDAD INTERIOR</t>
        </is>
      </c>
      <c r="I210" t="inlineStr">
        <is>
          <t>AFIRMATIVO</t>
        </is>
      </c>
      <c r="J210" s="17" t="inlineStr">
        <is>
          <t>AFIRMATIVO</t>
        </is>
      </c>
      <c r="L210" t="inlineStr">
        <is>
          <t>AFIRMATIVO</t>
        </is>
      </c>
      <c r="M210" s="9" t="inlineStr">
        <is>
          <t>AFIRMATIVO</t>
        </is>
      </c>
      <c r="N210" s="17" t="inlineStr">
        <is>
          <t>AFIRMATIVO</t>
        </is>
      </c>
      <c r="O210" t="inlineStr">
        <is>
          <t>AFIRMATIVO</t>
        </is>
      </c>
      <c r="Q210" t="inlineStr">
        <is>
          <t>AFIRMATIVO</t>
        </is>
      </c>
      <c r="S210" t="inlineStr">
        <is>
          <t>AFIRMATIVO</t>
        </is>
      </c>
      <c r="V210" s="17" t="inlineStr">
        <is>
          <t>AFIRMATIVO</t>
        </is>
      </c>
      <c r="W210" s="17" t="inlineStr">
        <is>
          <t>AFIRMATIVO</t>
        </is>
      </c>
    </row>
    <row r="211" ht="15.75" customHeight="1" thickBot="1">
      <c r="A211">
        <f>_xlfn.CONCAT(B211,,","," ",C211)</f>
        <v/>
      </c>
      <c r="B211" t="inlineStr">
        <is>
          <t>Rossi</t>
        </is>
      </c>
      <c r="C211" t="inlineStr">
        <is>
          <t>Agustín Oscar</t>
        </is>
      </c>
      <c r="D211" t="inlineStr">
        <is>
          <t>SANTA FE</t>
        </is>
      </c>
      <c r="E211" s="1" t="n">
        <v>46001</v>
      </c>
      <c r="F211" s="1" t="n">
        <v>47461</v>
      </c>
      <c r="G211" t="inlineStr">
        <is>
          <t>UNIÓN POR LA PATRIA</t>
        </is>
      </c>
      <c r="H211" s="12" t="inlineStr">
        <is>
          <t>PRESUPUESTO Y HACIENDA | DEFENSA NACIONAL | INDUSTRIA | ECONOMIA | DEPORTES | ASUNTOS COOPERATIVOS, MUTUALES Y ORGANIZACIONES NO GUBERNAMENTALES</t>
        </is>
      </c>
      <c r="I211" t="inlineStr">
        <is>
          <t>NEGATIVO</t>
        </is>
      </c>
      <c r="J211" s="17" t="inlineStr">
        <is>
          <t>NEGATIVO</t>
        </is>
      </c>
      <c r="L211" t="inlineStr">
        <is>
          <t>NEGATIVO</t>
        </is>
      </c>
      <c r="M211" s="9" t="inlineStr">
        <is>
          <t>NEGATIVO</t>
        </is>
      </c>
      <c r="N211" s="17" t="inlineStr">
        <is>
          <t>NEGATIVO</t>
        </is>
      </c>
      <c r="O211" t="inlineStr">
        <is>
          <t>AFIRMATIVO</t>
        </is>
      </c>
      <c r="Q211" t="inlineStr">
        <is>
          <t>NEGATIVO</t>
        </is>
      </c>
      <c r="S211" t="inlineStr">
        <is>
          <t>NEGATIVO</t>
        </is>
      </c>
      <c r="V211" s="17" t="inlineStr">
        <is>
          <t>NEGATIVO</t>
        </is>
      </c>
      <c r="W211" s="17" t="inlineStr">
        <is>
          <t>NEGATIVO</t>
        </is>
      </c>
    </row>
    <row r="212" ht="15.75" customHeight="1" thickBot="1">
      <c r="A212">
        <f>_xlfn.CONCAT(B212,,","," ",C212)</f>
        <v/>
      </c>
      <c r="B212" t="inlineStr">
        <is>
          <t>Ruíz</t>
        </is>
      </c>
      <c r="C212" t="inlineStr">
        <is>
          <t>Yamila</t>
        </is>
      </c>
      <c r="D212" t="inlineStr">
        <is>
          <t>MISIONES</t>
        </is>
      </c>
      <c r="E212" s="1" t="n">
        <v>45270</v>
      </c>
      <c r="F212" s="1" t="n">
        <v>46730</v>
      </c>
      <c r="G212" t="inlineStr">
        <is>
          <t>INNOVACIÓN FEDERAL</t>
        </is>
      </c>
      <c r="H212" s="12" t="inlineStr">
        <is>
          <t>EDUCACION | ECONOMIAS Y DESARROLLO REGIONAL | PETICIONES, PODERES Y REGLAMENTO | MERCOSUR | MUJERES Y DIVERSIDAD</t>
        </is>
      </c>
      <c r="I212" t="inlineStr">
        <is>
          <t>AFIRMATIVO</t>
        </is>
      </c>
      <c r="J212" s="17" t="inlineStr">
        <is>
          <t>AFIRMATIVO</t>
        </is>
      </c>
      <c r="L212" t="inlineStr">
        <is>
          <t>AFIRMATIVO</t>
        </is>
      </c>
      <c r="M212" s="9" t="inlineStr">
        <is>
          <t>AFIRMATIVO</t>
        </is>
      </c>
      <c r="N212" s="17" t="inlineStr">
        <is>
          <t>AFIRMATIVO</t>
        </is>
      </c>
      <c r="O212" t="inlineStr">
        <is>
          <t>AFIRMATIVO</t>
        </is>
      </c>
      <c r="Q212" t="inlineStr">
        <is>
          <t>AFIRMATIVO</t>
        </is>
      </c>
      <c r="S212" t="inlineStr">
        <is>
          <t>AFIRMATIVO</t>
        </is>
      </c>
      <c r="V212" s="17" t="inlineStr">
        <is>
          <t>AFIRMATIVO</t>
        </is>
      </c>
      <c r="W212" s="17" t="inlineStr">
        <is>
          <t>AFIRMATIVO</t>
        </is>
      </c>
    </row>
    <row r="213" ht="15.75" customHeight="1" thickBot="1">
      <c r="A213">
        <f>_xlfn.CONCAT(B213,,","," ",C213)</f>
        <v/>
      </c>
      <c r="B213" t="inlineStr">
        <is>
          <t>Salzmann</t>
        </is>
      </c>
      <c r="C213" t="inlineStr">
        <is>
          <t>Marina Dorotea</t>
        </is>
      </c>
      <c r="D213" t="inlineStr">
        <is>
          <t>BUENOS AIRES</t>
        </is>
      </c>
      <c r="E213" s="1" t="n">
        <v>46001</v>
      </c>
      <c r="F213" s="1" t="n">
        <v>47461</v>
      </c>
      <c r="G213" t="inlineStr">
        <is>
          <t>UNIÓN POR LA PATRIA</t>
        </is>
      </c>
      <c r="H213" s="12" t="inlineStr">
        <is>
          <t>EDUCACION | FAMILIAS, NIÑEZ Y JUVENTUDES | LEGISLACION DEL TRABAJO | PEQUEÑAS Y MEDIANAS EMPRESAS | MUJERES Y DIVERSIDAD</t>
        </is>
      </c>
      <c r="I213" t="inlineStr">
        <is>
          <t>NEGATIVO</t>
        </is>
      </c>
      <c r="J213" s="17" t="inlineStr">
        <is>
          <t>NEGATIVO</t>
        </is>
      </c>
      <c r="L213" t="inlineStr">
        <is>
          <t>NEGATIVO</t>
        </is>
      </c>
      <c r="M213" s="9" t="inlineStr">
        <is>
          <t>NEGATIVO</t>
        </is>
      </c>
      <c r="N213" s="17" t="inlineStr">
        <is>
          <t>NEGATIVO</t>
        </is>
      </c>
      <c r="O213" t="inlineStr">
        <is>
          <t>AFIRMATIVO</t>
        </is>
      </c>
      <c r="Q213" t="inlineStr">
        <is>
          <t>NEGATIVO</t>
        </is>
      </c>
      <c r="S213" t="inlineStr">
        <is>
          <t>NEGATIVO</t>
        </is>
      </c>
      <c r="V213" s="17" t="inlineStr">
        <is>
          <t>NEGATIVO</t>
        </is>
      </c>
      <c r="W213" s="17" t="inlineStr">
        <is>
          <t>NEGATIVO</t>
        </is>
      </c>
    </row>
    <row r="214" ht="15.75" customHeight="1" thickBot="1">
      <c r="A214">
        <f>_xlfn.CONCAT(B214,,","," ",C214)</f>
        <v/>
      </c>
      <c r="B214" t="inlineStr">
        <is>
          <t>Sánchez Wrba</t>
        </is>
      </c>
      <c r="C214" t="inlineStr">
        <is>
          <t>Javier</t>
        </is>
      </c>
      <c r="D214" t="inlineStr">
        <is>
          <t>BUENOS AIRES</t>
        </is>
      </c>
      <c r="E214" s="1" t="n">
        <v>46001</v>
      </c>
      <c r="F214" s="1" t="n">
        <v>47461</v>
      </c>
      <c r="G214" t="inlineStr">
        <is>
          <t>PRO</t>
        </is>
      </c>
      <c r="H214" s="12" t="inlineStr">
        <is>
          <t>ASUNTOS CONSTITUCIONALES | DEFENSA NACIONAL | ENERGIA Y COMBUSTIBLES | ASUNTOS MUNICIPALES | PETICIONES, PODERES Y REGLAMENTO | JUICIO POLITICO | ECONOMIA | ASUNTOS COOPERATIVOS, MUTUALES Y ORGANIZACIONES NO GUBERNAMENTALES</t>
        </is>
      </c>
      <c r="I214" t="inlineStr">
        <is>
          <t>AFIRMATIVO</t>
        </is>
      </c>
      <c r="J214" s="17" t="inlineStr">
        <is>
          <t>AFIRMATIVO</t>
        </is>
      </c>
      <c r="L214" t="inlineStr">
        <is>
          <t>AFIRMATIVO</t>
        </is>
      </c>
      <c r="M214" s="9" t="inlineStr">
        <is>
          <t>AFIRMATIVO</t>
        </is>
      </c>
      <c r="N214" s="17" t="inlineStr">
        <is>
          <t>AFIRMATIVO</t>
        </is>
      </c>
      <c r="O214" t="inlineStr">
        <is>
          <t>AFIRMATIVO</t>
        </is>
      </c>
      <c r="Q214" t="inlineStr">
        <is>
          <t>AFIRMATIVO</t>
        </is>
      </c>
      <c r="S214" t="inlineStr">
        <is>
          <t>AFIRMATIVO</t>
        </is>
      </c>
      <c r="V214" s="17" t="inlineStr">
        <is>
          <t>AFIRMATIVO</t>
        </is>
      </c>
      <c r="W214" s="17" t="inlineStr">
        <is>
          <t>AFIRMATIVO</t>
        </is>
      </c>
    </row>
    <row r="215" ht="15.75" customHeight="1" thickBot="1">
      <c r="A215">
        <f>_xlfn.CONCAT(B215,,","," ",C215)</f>
        <v/>
      </c>
      <c r="B215" t="inlineStr">
        <is>
          <t>Sand</t>
        </is>
      </c>
      <c r="C215" t="inlineStr">
        <is>
          <t>Nancy</t>
        </is>
      </c>
      <c r="D215" t="inlineStr">
        <is>
          <t>CORRIENTES</t>
        </is>
      </c>
      <c r="E215" s="1" t="n">
        <v>45270</v>
      </c>
      <c r="F215" s="1" t="n">
        <v>46730</v>
      </c>
      <c r="G215" t="inlineStr">
        <is>
          <t>UNIÓN POR LA PATRIA</t>
        </is>
      </c>
      <c r="H215" s="12" t="inlineStr">
        <is>
          <t>LEGISLACION GENERAL | EDUCACION | ECONOMIAS Y DESARROLLO REGIONAL | ASUNTOS MUNICIPALES | DISCAPACIDAD</t>
        </is>
      </c>
      <c r="I215" t="inlineStr">
        <is>
          <t>NEGATIVO</t>
        </is>
      </c>
      <c r="J215" s="17" t="inlineStr">
        <is>
          <t>NEGATIVO</t>
        </is>
      </c>
      <c r="L215" t="inlineStr">
        <is>
          <t>NEGATIVO</t>
        </is>
      </c>
      <c r="M215" s="9" t="inlineStr">
        <is>
          <t>NEGATIVO</t>
        </is>
      </c>
      <c r="N215" s="17" t="inlineStr">
        <is>
          <t>NEGATIVO</t>
        </is>
      </c>
      <c r="O215" t="inlineStr">
        <is>
          <t>ABSTENCIÓN</t>
        </is>
      </c>
      <c r="Q215" t="inlineStr">
        <is>
          <t>NEGATIVO</t>
        </is>
      </c>
      <c r="S215" t="inlineStr">
        <is>
          <t>NEGATIVO</t>
        </is>
      </c>
      <c r="V215" s="17" t="inlineStr">
        <is>
          <t>NEGATIVO</t>
        </is>
      </c>
      <c r="W215" s="17" t="inlineStr">
        <is>
          <t>NEGATIVO</t>
        </is>
      </c>
    </row>
    <row r="216" ht="15.75" customHeight="1" thickBot="1">
      <c r="A216">
        <f>_xlfn.CONCAT(B216,,","," ",C216)</f>
        <v/>
      </c>
      <c r="B216" t="inlineStr">
        <is>
          <t>Santillán Juárez Brahim</t>
        </is>
      </c>
      <c r="C216" t="inlineStr">
        <is>
          <t>Juliana</t>
        </is>
      </c>
      <c r="D216" t="inlineStr">
        <is>
          <t>BUENOS AIRES</t>
        </is>
      </c>
      <c r="E216" s="1" t="n">
        <v>45270</v>
      </c>
      <c r="F216" s="1" t="n">
        <v>46730</v>
      </c>
      <c r="G216" t="inlineStr">
        <is>
          <t>LA LIBERTAD AVANZA</t>
        </is>
      </c>
      <c r="H216" s="12" t="inlineStr">
        <is>
          <t>INTERESES MARITIMOS, FLUVIALES, PESQUEROS Y PORTUARIOS | DEPORTES | SEGURIDAD INTERIOR</t>
        </is>
      </c>
      <c r="I216" t="inlineStr">
        <is>
          <t>AFIRMATIVO</t>
        </is>
      </c>
      <c r="J216" s="17" t="inlineStr">
        <is>
          <t>AFIRMATIVO</t>
        </is>
      </c>
      <c r="L216" t="inlineStr">
        <is>
          <t>AFIRMATIVO</t>
        </is>
      </c>
      <c r="M216" s="9" t="inlineStr">
        <is>
          <t>AFIRMATIVO</t>
        </is>
      </c>
      <c r="N216" s="17" t="inlineStr">
        <is>
          <t>AFIRMATIVO</t>
        </is>
      </c>
      <c r="O216" t="inlineStr">
        <is>
          <t>AFIRMATIVO</t>
        </is>
      </c>
      <c r="Q216" t="inlineStr">
        <is>
          <t>AFIRMATIVO</t>
        </is>
      </c>
      <c r="S216" t="inlineStr">
        <is>
          <t>AFIRMATIVO</t>
        </is>
      </c>
      <c r="V216" s="17" t="inlineStr">
        <is>
          <t>AFIRMATIVO</t>
        </is>
      </c>
      <c r="W216" s="17" t="inlineStr">
        <is>
          <t>AFIRMATIVO</t>
        </is>
      </c>
    </row>
    <row r="217" ht="15.75" customHeight="1" thickBot="1">
      <c r="A217">
        <f>_xlfn.CONCAT(B217,,","," ",C217)</f>
        <v/>
      </c>
      <c r="B217" t="inlineStr">
        <is>
          <t>Santurio</t>
        </is>
      </c>
      <c r="C217" t="inlineStr">
        <is>
          <t>Santiago</t>
        </is>
      </c>
      <c r="D217" t="inlineStr">
        <is>
          <t>BUENOS AIRES</t>
        </is>
      </c>
      <c r="E217" s="1" t="n">
        <v>45270</v>
      </c>
      <c r="F217" s="1" t="n">
        <v>46730</v>
      </c>
      <c r="G217" t="inlineStr">
        <is>
          <t>LA LIBERTAD AVANZA</t>
        </is>
      </c>
      <c r="H217" s="12" t="inlineStr">
        <is>
          <t>LEGISLACION GENERAL | RELACIONES EXTERIORES Y CULTO | EDUCACION | CIENCIA, TECNOLOGIA E INNOVACION PRODUCTIVA | DEFENSA NACIONAL | AGRICULTURA Y GANADERIA | ENERGIA Y COMBUSTIBLES | DERECHOS HUMANOS Y GARANTIAS</t>
        </is>
      </c>
      <c r="I217" t="inlineStr">
        <is>
          <t>AFIRMATIVO</t>
        </is>
      </c>
      <c r="J217" s="17" t="inlineStr">
        <is>
          <t>AFIRMATIVO</t>
        </is>
      </c>
      <c r="L217" t="inlineStr">
        <is>
          <t>AFIRMATIVO</t>
        </is>
      </c>
      <c r="M217" s="9" t="inlineStr">
        <is>
          <t>AFIRMATIVO</t>
        </is>
      </c>
      <c r="N217" s="17" t="inlineStr">
        <is>
          <t>AFIRMATIVO</t>
        </is>
      </c>
      <c r="O217" t="inlineStr">
        <is>
          <t>AFIRMATIVO</t>
        </is>
      </c>
      <c r="Q217" t="inlineStr">
        <is>
          <t>AFIRMATIVO</t>
        </is>
      </c>
      <c r="S217" t="inlineStr">
        <is>
          <t>AFIRMATIVO</t>
        </is>
      </c>
      <c r="V217" s="17" t="inlineStr">
        <is>
          <t>AFIRMATIVO</t>
        </is>
      </c>
      <c r="W217" s="17" t="inlineStr">
        <is>
          <t>AFIRMATIVO</t>
        </is>
      </c>
    </row>
    <row r="218" ht="15.75" customHeight="1" thickBot="1">
      <c r="A218">
        <f>_xlfn.CONCAT(B218,,","," ",C218)</f>
        <v/>
      </c>
      <c r="B218" t="inlineStr">
        <is>
          <t>Scaglia</t>
        </is>
      </c>
      <c r="C218" t="inlineStr">
        <is>
          <t>Gisela</t>
        </is>
      </c>
      <c r="D218" t="inlineStr">
        <is>
          <t>SANTA FE</t>
        </is>
      </c>
      <c r="E218" s="1" t="n">
        <v>46001</v>
      </c>
      <c r="F218" s="1" t="n">
        <v>47461</v>
      </c>
      <c r="G218" t="inlineStr">
        <is>
          <t>PROVINCIAS UNIDAS</t>
        </is>
      </c>
      <c r="H218" s="12" t="inlineStr">
        <is>
          <t>FAMILIAS, NIÑEZ Y JUVENTUDES | AGRICULTURA Y GANADERIA | PREVENCION DE ADICCIONES Y CONTROL DEL NARCOTRAFICO | DEPORTES | DISCAPACIDAD</t>
        </is>
      </c>
      <c r="I218" t="inlineStr">
        <is>
          <t>ABSTENCIÓN</t>
        </is>
      </c>
      <c r="J218" s="17" t="inlineStr">
        <is>
          <t>NEGATIVO</t>
        </is>
      </c>
      <c r="L218" t="inlineStr">
        <is>
          <t>AFIRMATIVO</t>
        </is>
      </c>
      <c r="M218" s="9" t="inlineStr">
        <is>
          <t>AFIRMATIVO</t>
        </is>
      </c>
      <c r="N218" s="17" t="inlineStr">
        <is>
          <t>AFIRMATIVO</t>
        </is>
      </c>
      <c r="O218" t="inlineStr">
        <is>
          <t>AFIRMATIVO</t>
        </is>
      </c>
      <c r="Q218" t="inlineStr">
        <is>
          <t>AFIRMATIVO</t>
        </is>
      </c>
      <c r="S218" t="inlineStr">
        <is>
          <t>NEGATIVO</t>
        </is>
      </c>
      <c r="V218" s="17" t="inlineStr">
        <is>
          <t>AUSENTE</t>
        </is>
      </c>
      <c r="W218" s="17" t="inlineStr">
        <is>
          <t>AUSENTE</t>
        </is>
      </c>
    </row>
    <row r="219" ht="15.75" customHeight="1" thickBot="1">
      <c r="A219">
        <f>_xlfn.CONCAT(B219,,","," ",C219)</f>
        <v/>
      </c>
      <c r="B219" t="inlineStr">
        <is>
          <t>SCHIARETTI</t>
        </is>
      </c>
      <c r="C219" t="inlineStr">
        <is>
          <t>JUAN</t>
        </is>
      </c>
      <c r="D219" t="inlineStr">
        <is>
          <t>CORDOBA</t>
        </is>
      </c>
      <c r="E219" s="1" t="n">
        <v>46001</v>
      </c>
      <c r="F219" s="1" t="n">
        <v>47461</v>
      </c>
      <c r="G219" t="inlineStr">
        <is>
          <t>PROVINCIAS UNIDAS</t>
        </is>
      </c>
      <c r="H219" s="12" t="inlineStr">
        <is>
          <t>ECONOMIAS Y DESARROLLO REGIONAL | TURISMO | MERCOSUR</t>
        </is>
      </c>
      <c r="I219" t="inlineStr">
        <is>
          <t>Pendiente de incorporación</t>
        </is>
      </c>
      <c r="J219" t="inlineStr">
        <is>
          <t>Pendiente de incorporación</t>
        </is>
      </c>
      <c r="L219" t="inlineStr">
        <is>
          <t>AUSENTE</t>
        </is>
      </c>
      <c r="M219" s="9" t="inlineStr">
        <is>
          <t>NEGATIVO</t>
        </is>
      </c>
      <c r="N219" s="17" t="inlineStr">
        <is>
          <t>AFIRMATIVO</t>
        </is>
      </c>
      <c r="O219" t="inlineStr">
        <is>
          <t>AFIRMATIVO</t>
        </is>
      </c>
      <c r="Q219" t="inlineStr">
        <is>
          <t>AUSENTE</t>
        </is>
      </c>
      <c r="S219" t="inlineStr">
        <is>
          <t>AUSENTE</t>
        </is>
      </c>
      <c r="V219" s="17" t="inlineStr">
        <is>
          <t>NEGATIVO</t>
        </is>
      </c>
      <c r="W219" s="17" t="inlineStr">
        <is>
          <t>AFIRMATIVO</t>
        </is>
      </c>
    </row>
    <row r="220" ht="15.75" customHeight="1" thickBot="1">
      <c r="A220">
        <f>_xlfn.CONCAT(B220,,","," ",C220)</f>
        <v/>
      </c>
      <c r="B220" t="inlineStr">
        <is>
          <t>Schneider</t>
        </is>
      </c>
      <c r="C220" t="inlineStr">
        <is>
          <t>Darío</t>
        </is>
      </c>
      <c r="D220" t="inlineStr">
        <is>
          <t>ENTRE RIOS</t>
        </is>
      </c>
      <c r="E220" s="1" t="n">
        <v>46001</v>
      </c>
      <c r="F220" s="1" t="n">
        <v>47461</v>
      </c>
      <c r="G220" t="inlineStr">
        <is>
          <t>UCR - UNIÓN CÍVICA RADICAL</t>
        </is>
      </c>
      <c r="H220" s="12" t="inlineStr">
        <is>
          <t>RELACIONES EXTERIORES Y CULTO | OBRAS PUBLICAS | TRANSPORTES | ASUNTOS MUNICIPALES | INTERESES MARITIMOS, FLUVIALES, PESQUEROS Y PORTUARIOS | VIVIENDA Y ORDENAMIENTO URBANO | POBLACION Y DESARROLLO HUMANO | DEPORTES</t>
        </is>
      </c>
      <c r="I220" t="inlineStr">
        <is>
          <t>AFIRMATIVO</t>
        </is>
      </c>
      <c r="J220" s="17" t="inlineStr">
        <is>
          <t>AFIRMATIVO</t>
        </is>
      </c>
      <c r="L220" t="inlineStr">
        <is>
          <t>AFIRMATIVO</t>
        </is>
      </c>
      <c r="M220" s="9" t="inlineStr">
        <is>
          <t>AFIRMATIVO</t>
        </is>
      </c>
      <c r="N220" s="17" t="inlineStr">
        <is>
          <t>AFIRMATIVO</t>
        </is>
      </c>
      <c r="O220" t="inlineStr">
        <is>
          <t>AFIRMATIVO</t>
        </is>
      </c>
      <c r="Q220" t="inlineStr">
        <is>
          <t>AFIRMATIVO</t>
        </is>
      </c>
      <c r="S220" t="inlineStr">
        <is>
          <t>AFIRMATIVO</t>
        </is>
      </c>
      <c r="V220" s="17" t="inlineStr">
        <is>
          <t>AFIRMATIVO</t>
        </is>
      </c>
      <c r="W220" s="17" t="inlineStr">
        <is>
          <t>AFIRMATIVO</t>
        </is>
      </c>
    </row>
    <row r="221" ht="15.75" customHeight="1" thickBot="1">
      <c r="A221">
        <f>_xlfn.CONCAT(B221,,","," ",C221)</f>
        <v/>
      </c>
      <c r="B221" t="inlineStr">
        <is>
          <t>Selva</t>
        </is>
      </c>
      <c r="C221" t="inlineStr">
        <is>
          <t>Sabrina</t>
        </is>
      </c>
      <c r="D221" t="inlineStr">
        <is>
          <t>BUENOS AIRES</t>
        </is>
      </c>
      <c r="E221" s="1" t="n">
        <v>45270</v>
      </c>
      <c r="F221" s="1" t="n">
        <v>46730</v>
      </c>
      <c r="G221" t="inlineStr">
        <is>
          <t>UNIÓN POR LA PATRIA</t>
        </is>
      </c>
      <c r="H221" s="12" t="inlineStr">
        <is>
          <t>PRESUPUESTO Y HACIENDA | CIENCIA, TECNOLOGIA E INNOVACION PRODUCTIVA | JUSTICIA | PETICIONES, PODERES Y REGLAMENTO | RECURSOS NATURALES Y CONSERVACION DEL AMBIENTE HUMANO | LIBERTAD DE EXPRESION</t>
        </is>
      </c>
      <c r="I221" t="inlineStr">
        <is>
          <t>NEGATIVO</t>
        </is>
      </c>
      <c r="J221" s="17" t="inlineStr">
        <is>
          <t>NEGATIVO</t>
        </is>
      </c>
      <c r="L221" t="inlineStr">
        <is>
          <t>NEGATIVO</t>
        </is>
      </c>
      <c r="M221" s="9" t="inlineStr">
        <is>
          <t>NEGATIVO</t>
        </is>
      </c>
      <c r="N221" s="17" t="inlineStr">
        <is>
          <t>NEGATIVO</t>
        </is>
      </c>
      <c r="O221" t="inlineStr">
        <is>
          <t>AFIRMATIVO</t>
        </is>
      </c>
      <c r="Q221" t="inlineStr">
        <is>
          <t>NEGATIVO</t>
        </is>
      </c>
      <c r="S221" t="inlineStr">
        <is>
          <t>NEGATIVO</t>
        </is>
      </c>
      <c r="V221" s="17" t="inlineStr">
        <is>
          <t>NEGATIVO</t>
        </is>
      </c>
      <c r="W221" s="17" t="inlineStr">
        <is>
          <t>NEGATIVO</t>
        </is>
      </c>
    </row>
    <row r="222" ht="15.75" customHeight="1" thickBot="1">
      <c r="A222">
        <f>_xlfn.CONCAT(B222,,","," ",C222)</f>
        <v/>
      </c>
      <c r="B222" t="inlineStr">
        <is>
          <t>Serquis</t>
        </is>
      </c>
      <c r="C222" t="inlineStr">
        <is>
          <t>Adriana Cristina</t>
        </is>
      </c>
      <c r="D222" t="inlineStr">
        <is>
          <t>RIO NEGRO</t>
        </is>
      </c>
      <c r="E222" s="1" t="n">
        <v>46001</v>
      </c>
      <c r="F222" s="1" t="n">
        <v>47461</v>
      </c>
      <c r="G222" t="inlineStr">
        <is>
          <t>UNIÓN POR LA PATRIA</t>
        </is>
      </c>
      <c r="H222" s="12" t="inlineStr">
        <is>
          <t>CIENCIA, TECNOLOGIA E INNOVACION PRODUCTIVA | ENERGIA Y COMBUSTIBLES | RECURSOS NATURALES Y CONSERVACION DEL AMBIENTE HUMANO | MINERIA | POBLACION Y DESARROLLO HUMANO | MUJERES Y DIVERSIDAD</t>
        </is>
      </c>
      <c r="I222" t="inlineStr">
        <is>
          <t>NEGATIVO</t>
        </is>
      </c>
      <c r="J222" s="17" t="inlineStr">
        <is>
          <t>NEGATIVO</t>
        </is>
      </c>
      <c r="L222" t="inlineStr">
        <is>
          <t>NEGATIVO</t>
        </is>
      </c>
      <c r="M222" s="9" t="inlineStr">
        <is>
          <t>NEGATIVO</t>
        </is>
      </c>
      <c r="N222" s="17" t="inlineStr">
        <is>
          <t>NEGATIVO</t>
        </is>
      </c>
      <c r="O222" t="inlineStr">
        <is>
          <t>NEGATIVO</t>
        </is>
      </c>
      <c r="Q222" t="inlineStr">
        <is>
          <t>NEGATIVO</t>
        </is>
      </c>
      <c r="S222" t="inlineStr">
        <is>
          <t>NEGATIVO</t>
        </is>
      </c>
      <c r="V222" s="17" t="inlineStr">
        <is>
          <t>NEGATIVO</t>
        </is>
      </c>
      <c r="W222" s="17" t="inlineStr">
        <is>
          <t>NEGATIVO</t>
        </is>
      </c>
    </row>
    <row r="223" ht="15.75" customHeight="1" thickBot="1">
      <c r="A223">
        <f>_xlfn.CONCAT(B223,,","," ",C223)</f>
        <v/>
      </c>
      <c r="B223" t="inlineStr">
        <is>
          <t>Siley</t>
        </is>
      </c>
      <c r="C223" t="inlineStr">
        <is>
          <t>Vanesa Raquel</t>
        </is>
      </c>
      <c r="D223" t="inlineStr">
        <is>
          <t>BUENOS AIRES</t>
        </is>
      </c>
      <c r="E223" s="1" t="n">
        <v>46001</v>
      </c>
      <c r="F223" s="1" t="n">
        <v>47461</v>
      </c>
      <c r="G223" t="inlineStr">
        <is>
          <t>UNIÓN POR LA PATRIA</t>
        </is>
      </c>
      <c r="H223" s="12" t="inlineStr">
        <is>
          <t>ASUNTOS CONSTITUCIONALES | LEGISLACION GENERAL | JUSTICIA | PREVISION Y SEGURIDAD SOCIAL | LEGISLACION DEL TRABAJO | JUICIO POLITICO</t>
        </is>
      </c>
      <c r="I223" t="inlineStr">
        <is>
          <t>NEGATIVO</t>
        </is>
      </c>
      <c r="J223" s="17" t="inlineStr">
        <is>
          <t>NEGATIVO</t>
        </is>
      </c>
      <c r="L223" t="inlineStr">
        <is>
          <t>NEGATIVO</t>
        </is>
      </c>
      <c r="M223" s="9" t="inlineStr">
        <is>
          <t>NEGATIVO</t>
        </is>
      </c>
      <c r="N223" s="17" t="inlineStr">
        <is>
          <t>NEGATIVO</t>
        </is>
      </c>
      <c r="O223" t="inlineStr">
        <is>
          <t>NEGATIVO</t>
        </is>
      </c>
      <c r="Q223" t="inlineStr">
        <is>
          <t>NEGATIVO</t>
        </is>
      </c>
      <c r="S223" t="inlineStr">
        <is>
          <t>NEGATIVO</t>
        </is>
      </c>
      <c r="V223" s="17" t="inlineStr">
        <is>
          <t>NEGATIVO</t>
        </is>
      </c>
      <c r="W223" s="17" t="inlineStr">
        <is>
          <t>NEGATIVO</t>
        </is>
      </c>
    </row>
    <row r="224" ht="15.75" customHeight="1" thickBot="1">
      <c r="A224">
        <f>_xlfn.CONCAT(B224,,","," ",C224)</f>
        <v/>
      </c>
      <c r="B224" t="inlineStr">
        <is>
          <t>Snopek</t>
        </is>
      </c>
      <c r="C224" t="inlineStr">
        <is>
          <t>Guillermo</t>
        </is>
      </c>
      <c r="D224" t="inlineStr">
        <is>
          <t>JUJUY</t>
        </is>
      </c>
      <c r="E224" s="1" t="n">
        <v>45270</v>
      </c>
      <c r="F224" s="1" t="n">
        <v>46730</v>
      </c>
      <c r="G224" t="inlineStr">
        <is>
          <t>UNIÓN POR LA PATRIA</t>
        </is>
      </c>
      <c r="H224" s="12" t="inlineStr">
        <is>
          <t>LEGISLACION GENERAL | JUICIO POLITICO | MINERIA</t>
        </is>
      </c>
      <c r="I224" t="inlineStr">
        <is>
          <t>NEGATIVO</t>
        </is>
      </c>
      <c r="J224" s="17" t="inlineStr">
        <is>
          <t>AUSENTE</t>
        </is>
      </c>
      <c r="L224" t="inlineStr">
        <is>
          <t>NEGATIVO</t>
        </is>
      </c>
      <c r="M224" s="9" t="inlineStr">
        <is>
          <t>NEGATIVO</t>
        </is>
      </c>
      <c r="N224" s="17" t="inlineStr">
        <is>
          <t>NEGATIVO</t>
        </is>
      </c>
      <c r="O224" t="inlineStr">
        <is>
          <t>AFIRMATIVO</t>
        </is>
      </c>
      <c r="Q224" t="inlineStr">
        <is>
          <t>AUSENTE</t>
        </is>
      </c>
      <c r="S224" t="inlineStr">
        <is>
          <t>AUSENTE</t>
        </is>
      </c>
      <c r="V224" s="17" t="inlineStr">
        <is>
          <t>NEGATIVO</t>
        </is>
      </c>
      <c r="W224" s="17" t="inlineStr">
        <is>
          <t>NEGATIVO</t>
        </is>
      </c>
    </row>
    <row r="225" ht="15.75" customHeight="1" thickBot="1">
      <c r="A225">
        <f>_xlfn.CONCAT(B225,,","," ",C225)</f>
        <v/>
      </c>
      <c r="B225" t="inlineStr">
        <is>
          <t>Soldano</t>
        </is>
      </c>
      <c r="C225" t="inlineStr">
        <is>
          <t>Laura</t>
        </is>
      </c>
      <c r="D225" t="inlineStr">
        <is>
          <t>CORDOBA</t>
        </is>
      </c>
      <c r="E225" s="1" t="n">
        <v>46001</v>
      </c>
      <c r="F225" s="1" t="n">
        <v>47461</v>
      </c>
      <c r="G225" t="inlineStr">
        <is>
          <t>LA LIBERTAD AVANZA</t>
        </is>
      </c>
      <c r="H225" s="12" t="inlineStr">
        <is>
          <t>AGRICULTURA Y GANADERIA | COMUNICACIONES E INFORMATICA | TRANSPORTES | PREVENCION DE ADICCIONES Y CONTROL DEL NARCOTRAFICO | DEPORTES | LIBERTAD DE EXPRESION</t>
        </is>
      </c>
      <c r="I225" t="inlineStr">
        <is>
          <t>AFIRMATIVO</t>
        </is>
      </c>
      <c r="J225" s="17" t="inlineStr">
        <is>
          <t>AFIRMATIVO</t>
        </is>
      </c>
      <c r="L225" t="inlineStr">
        <is>
          <t>AFIRMATIVO</t>
        </is>
      </c>
      <c r="M225" s="9" t="inlineStr">
        <is>
          <t>AFIRMATIVO</t>
        </is>
      </c>
      <c r="N225" s="17" t="inlineStr">
        <is>
          <t>AFIRMATIVO</t>
        </is>
      </c>
      <c r="O225" t="inlineStr">
        <is>
          <t>AFIRMATIVO</t>
        </is>
      </c>
      <c r="Q225" t="inlineStr">
        <is>
          <t>AFIRMATIVO</t>
        </is>
      </c>
      <c r="S225" t="inlineStr">
        <is>
          <t>AFIRMATIVO</t>
        </is>
      </c>
      <c r="V225" s="17" t="inlineStr">
        <is>
          <t>AFIRMATIVO</t>
        </is>
      </c>
      <c r="W225" s="17" t="inlineStr">
        <is>
          <t>AFIRMATIVO</t>
        </is>
      </c>
    </row>
    <row r="226" ht="15.75" customHeight="1" thickBot="1">
      <c r="A226">
        <f>_xlfn.CONCAT(B226,,","," ",C226)</f>
        <v/>
      </c>
      <c r="B226" t="inlineStr">
        <is>
          <t>Strada</t>
        </is>
      </c>
      <c r="C226" t="inlineStr">
        <is>
          <t>Julia</t>
        </is>
      </c>
      <c r="D226" t="inlineStr">
        <is>
          <t>BUENOS AIRES</t>
        </is>
      </c>
      <c r="E226" s="1" t="n">
        <v>45270</v>
      </c>
      <c r="F226" s="1" t="n">
        <v>46730</v>
      </c>
      <c r="G226" t="inlineStr">
        <is>
          <t>UNIÓN POR LA PATRIA</t>
        </is>
      </c>
      <c r="H226" s="12" t="inlineStr">
        <is>
          <t>PRESUPUESTO Y HACIENDA | CIENCIA, TECNOLOGIA E INNOVACION PRODUCTIVA | FINANZAS | INDUSTRIA | INTERESES MARITIMOS, FLUVIALES, PESQUEROS Y PORTUARIOS | DEFENSA DEL CONSUMIDOR, DEL USUARIO Y DE LA COMPETENCIA</t>
        </is>
      </c>
      <c r="I226" t="inlineStr">
        <is>
          <t>NEGATIVO</t>
        </is>
      </c>
      <c r="J226" s="17" t="inlineStr">
        <is>
          <t>NEGATIVO</t>
        </is>
      </c>
      <c r="L226" t="inlineStr">
        <is>
          <t>NEGATIVO</t>
        </is>
      </c>
      <c r="M226" s="9" t="inlineStr">
        <is>
          <t>NEGATIVO</t>
        </is>
      </c>
      <c r="N226" s="17" t="inlineStr">
        <is>
          <t>NEGATIVO</t>
        </is>
      </c>
      <c r="O226" t="inlineStr">
        <is>
          <t>ABSTENCIÓN</t>
        </is>
      </c>
      <c r="Q226" t="inlineStr">
        <is>
          <t>NEGATIVO</t>
        </is>
      </c>
      <c r="S226" t="inlineStr">
        <is>
          <t>NEGATIVO</t>
        </is>
      </c>
      <c r="V226" s="17" t="inlineStr">
        <is>
          <t>NEGATIVO</t>
        </is>
      </c>
      <c r="W226" s="17" t="inlineStr">
        <is>
          <t>NEGATIVO</t>
        </is>
      </c>
    </row>
    <row r="227" ht="15.75" customHeight="1" thickBot="1">
      <c r="A227">
        <f>_xlfn.CONCAT(B227,,","," ",C227)</f>
        <v/>
      </c>
      <c r="B227" t="inlineStr">
        <is>
          <t>Taiana</t>
        </is>
      </c>
      <c r="C227" t="inlineStr">
        <is>
          <t>Jorge</t>
        </is>
      </c>
      <c r="D227" t="inlineStr">
        <is>
          <t>BUENOS AIRES</t>
        </is>
      </c>
      <c r="E227" s="1" t="n">
        <v>46001</v>
      </c>
      <c r="F227" s="1" t="n">
        <v>47461</v>
      </c>
      <c r="G227" t="inlineStr">
        <is>
          <t>UNIÓN POR LA PATRIA</t>
        </is>
      </c>
      <c r="H227" s="12" t="inlineStr">
        <is>
          <t>ASUNTOS CONSTITUCIONALES | RELACIONES EXTERIORES Y CULTO | CIENCIA, TECNOLOGIA E INNOVACION PRODUCTIVA | DEFENSA NACIONAL | INTERESES MARITIMOS, FLUVIALES, PESQUEROS Y PORTUARIOS</t>
        </is>
      </c>
      <c r="I227" t="inlineStr">
        <is>
          <t>NEGATIVO</t>
        </is>
      </c>
      <c r="J227" s="17" t="inlineStr">
        <is>
          <t>NEGATIVO</t>
        </is>
      </c>
      <c r="L227" t="inlineStr">
        <is>
          <t>NEGATIVO</t>
        </is>
      </c>
      <c r="M227" s="9" t="inlineStr">
        <is>
          <t>NEGATIVO</t>
        </is>
      </c>
      <c r="N227" s="17" t="inlineStr">
        <is>
          <t>NEGATIVO</t>
        </is>
      </c>
      <c r="O227" t="inlineStr">
        <is>
          <t>NEGATIVO</t>
        </is>
      </c>
      <c r="Q227" t="inlineStr">
        <is>
          <t>NEGATIVO</t>
        </is>
      </c>
      <c r="S227" t="inlineStr">
        <is>
          <t>NEGATIVO</t>
        </is>
      </c>
      <c r="V227" s="17" t="inlineStr">
        <is>
          <t>NEGATIVO</t>
        </is>
      </c>
      <c r="W227" s="17" t="inlineStr">
        <is>
          <t>NEGATIVO</t>
        </is>
      </c>
    </row>
    <row r="228" ht="15.75" customHeight="1" thickBot="1">
      <c r="A228">
        <f>_xlfn.CONCAT(B228,,","," ",C228)</f>
        <v/>
      </c>
      <c r="B228" t="inlineStr">
        <is>
          <t>Tailhade</t>
        </is>
      </c>
      <c r="C228" t="inlineStr">
        <is>
          <t>Rodolfo</t>
        </is>
      </c>
      <c r="D228" t="inlineStr">
        <is>
          <t>BUENOS AIRES</t>
        </is>
      </c>
      <c r="E228" s="1" t="n">
        <v>45270</v>
      </c>
      <c r="F228" s="1" t="n">
        <v>46730</v>
      </c>
      <c r="G228" t="inlineStr">
        <is>
          <t>UNIÓN POR LA PATRIA</t>
        </is>
      </c>
      <c r="H228" s="12" t="inlineStr">
        <is>
          <t>JUSTICIA | PETICIONES, PODERES Y REGLAMENTO | JUICIO POLITICO | SEGURIDAD INTERIOR</t>
        </is>
      </c>
      <c r="I228" t="inlineStr">
        <is>
          <t>AUSENTE</t>
        </is>
      </c>
      <c r="J228" s="17" t="inlineStr">
        <is>
          <t>AUSENTE</t>
        </is>
      </c>
      <c r="L228" t="inlineStr">
        <is>
          <t>NEGATIVO</t>
        </is>
      </c>
      <c r="M228" s="9" t="inlineStr">
        <is>
          <t>NEGATIVO</t>
        </is>
      </c>
      <c r="N228" s="17" t="inlineStr">
        <is>
          <t>NEGATIVO</t>
        </is>
      </c>
      <c r="O228" t="inlineStr">
        <is>
          <t>NEGATIVO</t>
        </is>
      </c>
      <c r="Q228" t="inlineStr">
        <is>
          <t>NEGATIVO</t>
        </is>
      </c>
      <c r="S228" t="inlineStr">
        <is>
          <t>NEGATIVO</t>
        </is>
      </c>
      <c r="V228" s="17" t="inlineStr">
        <is>
          <t>NEGATIVO</t>
        </is>
      </c>
      <c r="W228" s="17" t="inlineStr">
        <is>
          <t>AFIRMATIVO</t>
        </is>
      </c>
    </row>
    <row r="229" ht="15.75" customHeight="1" thickBot="1">
      <c r="A229">
        <f>_xlfn.CONCAT(B229,,","," ",C229)</f>
        <v/>
      </c>
      <c r="B229" t="inlineStr">
        <is>
          <t>Tepp</t>
        </is>
      </c>
      <c r="C229" t="inlineStr">
        <is>
          <t>Caren</t>
        </is>
      </c>
      <c r="D229" t="inlineStr">
        <is>
          <t>SANTA FE</t>
        </is>
      </c>
      <c r="E229" s="1" t="n">
        <v>46001</v>
      </c>
      <c r="F229" s="1" t="n">
        <v>47461</v>
      </c>
      <c r="G229" t="inlineStr">
        <is>
          <t>UNIÓN POR LA PATRIA</t>
        </is>
      </c>
      <c r="H229" s="12" t="inlineStr">
        <is>
          <t>RELACIONES EXTERIORES Y CULTO | TRANSPORTES | ASUNTOS MUNICIPALES | VIVIENDA Y ORDENAMIENTO URBANO | RECURSOS NATURALES Y CONSERVACION DEL AMBIENTE HUMANO | MUJERES Y DIVERSIDAD</t>
        </is>
      </c>
      <c r="I229" t="inlineStr">
        <is>
          <t>NEGATIVO</t>
        </is>
      </c>
      <c r="J229" s="17" t="inlineStr">
        <is>
          <t>NEGATIVO</t>
        </is>
      </c>
      <c r="L229" t="inlineStr">
        <is>
          <t>NEGATIVO</t>
        </is>
      </c>
      <c r="M229" s="9" t="inlineStr">
        <is>
          <t>NEGATIVO</t>
        </is>
      </c>
      <c r="N229" s="17" t="inlineStr">
        <is>
          <t>NEGATIVO</t>
        </is>
      </c>
      <c r="O229" t="inlineStr">
        <is>
          <t>AFIRMATIVO</t>
        </is>
      </c>
      <c r="Q229" t="inlineStr">
        <is>
          <t>NEGATIVO</t>
        </is>
      </c>
      <c r="S229" t="inlineStr">
        <is>
          <t>NEGATIVO</t>
        </is>
      </c>
      <c r="V229" s="17" t="inlineStr">
        <is>
          <t>NEGATIVO</t>
        </is>
      </c>
      <c r="W229" s="17" t="inlineStr">
        <is>
          <t>NEGATIVO</t>
        </is>
      </c>
    </row>
    <row r="230" ht="15.75" customHeight="1" thickBot="1">
      <c r="A230">
        <f>_xlfn.CONCAT(B230,,","," ",C230)</f>
        <v/>
      </c>
      <c r="B230" t="inlineStr">
        <is>
          <t>Tita</t>
        </is>
      </c>
      <c r="C230" t="inlineStr">
        <is>
          <t>Paulo Agustín</t>
        </is>
      </c>
      <c r="D230" t="inlineStr">
        <is>
          <t>TIERRA DEL FUEGO</t>
        </is>
      </c>
      <c r="E230" s="1" t="n">
        <v>46001</v>
      </c>
      <c r="F230" s="1" t="n">
        <v>47461</v>
      </c>
      <c r="G230" t="inlineStr">
        <is>
          <t>UNIÓN POR LA PATRIA</t>
        </is>
      </c>
      <c r="H230" s="12" t="inlineStr">
        <is>
          <t>AGRICULTURA Y GANADERIA | INDUSTRIA | ECONOMIAS Y DESARROLLO REGIONAL | INTERESES MARITIMOS, FLUVIALES, PESQUEROS Y PORTUARIOS | TURISMO | PEQUEÑAS Y MEDIANAS EMPRESAS</t>
        </is>
      </c>
      <c r="I230" t="inlineStr">
        <is>
          <t>AUSENTE</t>
        </is>
      </c>
      <c r="J230" s="17" t="inlineStr">
        <is>
          <t>AUSENTE</t>
        </is>
      </c>
      <c r="L230" t="inlineStr">
        <is>
          <t>AUSENTE</t>
        </is>
      </c>
      <c r="M230" s="9" t="inlineStr">
        <is>
          <t>NEGATIVO</t>
        </is>
      </c>
      <c r="N230" s="17" t="inlineStr">
        <is>
          <t>NEGATIVO</t>
        </is>
      </c>
      <c r="O230" t="inlineStr">
        <is>
          <t>AFIRMATIVO</t>
        </is>
      </c>
      <c r="Q230" t="inlineStr">
        <is>
          <t>NEGATIVO</t>
        </is>
      </c>
      <c r="S230" t="inlineStr">
        <is>
          <t>NEGATIVO</t>
        </is>
      </c>
      <c r="V230" s="17" t="inlineStr">
        <is>
          <t>NEGATIVO</t>
        </is>
      </c>
      <c r="W230" s="17" t="inlineStr">
        <is>
          <t>NEGATIVO</t>
        </is>
      </c>
    </row>
    <row r="231" ht="15.75" customHeight="1" thickBot="1">
      <c r="A231">
        <f>_xlfn.CONCAT(B231,,","," ",C231)</f>
        <v/>
      </c>
      <c r="B231" t="inlineStr">
        <is>
          <t>Todero</t>
        </is>
      </c>
      <c r="C231" t="inlineStr">
        <is>
          <t>Pablo</t>
        </is>
      </c>
      <c r="D231" t="inlineStr">
        <is>
          <t>NEUQUEN</t>
        </is>
      </c>
      <c r="E231" s="1" t="n">
        <v>45270</v>
      </c>
      <c r="F231" s="1" t="n">
        <v>46730</v>
      </c>
      <c r="G231" t="inlineStr">
        <is>
          <t>UNIÓN POR LA PATRIA</t>
        </is>
      </c>
      <c r="H231" s="12" t="inlineStr">
        <is>
          <t>PREVISION Y SEGURIDAD SOCIAL | DE LAS PERSONAS MAYORES | ENERGIA Y COMBUSTIBLES | TURISMO | ASUNTOS COOPERATIVOS, MUTUALES Y ORGANIZACIONES NO GUBERNAMENTALES | DEFENSA DEL CONSUMIDOR, DEL USUARIO Y DE LA COMPETENCIA</t>
        </is>
      </c>
      <c r="I231" t="inlineStr">
        <is>
          <t>NEGATIVO</t>
        </is>
      </c>
      <c r="J231" s="17" t="inlineStr">
        <is>
          <t>NEGATIVO</t>
        </is>
      </c>
      <c r="L231" t="inlineStr">
        <is>
          <t>NEGATIVO</t>
        </is>
      </c>
      <c r="M231" s="9" t="inlineStr">
        <is>
          <t>NEGATIVO</t>
        </is>
      </c>
      <c r="N231" s="17" t="inlineStr">
        <is>
          <t>NEGATIVO</t>
        </is>
      </c>
      <c r="O231" t="inlineStr">
        <is>
          <t>AFIRMATIVO</t>
        </is>
      </c>
      <c r="Q231" t="inlineStr">
        <is>
          <t>NEGATIVO</t>
        </is>
      </c>
      <c r="S231" t="inlineStr">
        <is>
          <t>NEGATIVO</t>
        </is>
      </c>
      <c r="V231" s="17" t="inlineStr">
        <is>
          <t>NEGATIVO</t>
        </is>
      </c>
      <c r="W231" s="17" t="inlineStr">
        <is>
          <t>NEGATIVO</t>
        </is>
      </c>
    </row>
    <row r="232" ht="15.75" customHeight="1" thickBot="1">
      <c r="A232">
        <f>_xlfn.CONCAT(B232,,","," ",C232)</f>
        <v/>
      </c>
      <c r="B232" t="inlineStr">
        <is>
          <t>Tolosa Paz</t>
        </is>
      </c>
      <c r="C232" t="inlineStr">
        <is>
          <t>Victoria</t>
        </is>
      </c>
      <c r="D232" t="inlineStr">
        <is>
          <t>BUENOS AIRES</t>
        </is>
      </c>
      <c r="E232" s="1" t="n">
        <v>45270</v>
      </c>
      <c r="F232" s="1" t="n">
        <v>46730</v>
      </c>
      <c r="G232" t="inlineStr">
        <is>
          <t>UNIÓN POR LA PATRIA</t>
        </is>
      </c>
      <c r="H232" s="12" t="inlineStr">
        <is>
          <t>PRESUPUESTO Y HACIENDA | FAMILIAS, NIÑEZ Y JUVENTUDES | INDUSTRIA | VIVIENDA Y ORDENAMIENTO URBANO | DEFENSA DEL CONSUMIDOR, DEL USUARIO Y DE LA COMPETENCIA | DISCAPACIDAD</t>
        </is>
      </c>
      <c r="I232" t="inlineStr">
        <is>
          <t>NEGATIVO</t>
        </is>
      </c>
      <c r="J232" s="17" t="inlineStr">
        <is>
          <t>NEGATIVO</t>
        </is>
      </c>
      <c r="L232" t="inlineStr">
        <is>
          <t>NEGATIVO</t>
        </is>
      </c>
      <c r="M232" s="9" t="inlineStr">
        <is>
          <t>NEGATIVO</t>
        </is>
      </c>
      <c r="N232" s="17" t="inlineStr">
        <is>
          <t>NEGATIVO</t>
        </is>
      </c>
      <c r="O232" t="inlineStr">
        <is>
          <t>AFIRMATIVO</t>
        </is>
      </c>
      <c r="Q232" t="inlineStr">
        <is>
          <t>AUSENTE</t>
        </is>
      </c>
      <c r="S232" t="inlineStr">
        <is>
          <t>AUSENTE</t>
        </is>
      </c>
      <c r="V232" s="17" t="inlineStr">
        <is>
          <t>NEGATIVO</t>
        </is>
      </c>
      <c r="W232" s="17" t="inlineStr">
        <is>
          <t>NEGATIVO</t>
        </is>
      </c>
    </row>
    <row r="233" ht="15.75" customHeight="1" thickBot="1">
      <c r="A233">
        <f>_xlfn.CONCAT(B233,,","," ",C233)</f>
        <v/>
      </c>
      <c r="B233" t="inlineStr">
        <is>
          <t>Tomassoni</t>
        </is>
      </c>
      <c r="C233" t="inlineStr">
        <is>
          <t>Yamile</t>
        </is>
      </c>
      <c r="D233" t="inlineStr">
        <is>
          <t>SANTA FE</t>
        </is>
      </c>
      <c r="E233" s="1" t="n">
        <v>46001</v>
      </c>
      <c r="F233" s="1" t="n">
        <v>47461</v>
      </c>
      <c r="G233" t="inlineStr">
        <is>
          <t>LA LIBERTAD AVANZA</t>
        </is>
      </c>
      <c r="H233" s="12" t="inlineStr">
        <is>
          <t>EDUCACION | PREVISION Y SEGURIDAD SOCIAL | ACCION SOCIAL Y SALUD PUBLICA | FAMILIAS, NIÑEZ Y JUVENTUDES | DE LAS PERSONAS MAYORES | ECONOMIA | MERCOSUR | LIBERTAD DE EXPRESION</t>
        </is>
      </c>
      <c r="I233" t="inlineStr">
        <is>
          <t>AFIRMATIVO</t>
        </is>
      </c>
      <c r="J233" s="17" t="inlineStr">
        <is>
          <t>AFIRMATIVO</t>
        </is>
      </c>
      <c r="L233" t="inlineStr">
        <is>
          <t>AFIRMATIVO</t>
        </is>
      </c>
      <c r="M233" s="9" t="inlineStr">
        <is>
          <t>AFIRMATIVO</t>
        </is>
      </c>
      <c r="N233" s="17" t="inlineStr">
        <is>
          <t>AFIRMATIVO</t>
        </is>
      </c>
      <c r="O233" t="inlineStr">
        <is>
          <t>AFIRMATIVO</t>
        </is>
      </c>
      <c r="Q233" t="inlineStr">
        <is>
          <t>AFIRMATIVO</t>
        </is>
      </c>
      <c r="S233" t="inlineStr">
        <is>
          <t>AFIRMATIVO</t>
        </is>
      </c>
      <c r="V233" s="17" t="inlineStr">
        <is>
          <t>AFIRMATIVO</t>
        </is>
      </c>
      <c r="W233" s="17" t="inlineStr">
        <is>
          <t>AFIRMATIVO</t>
        </is>
      </c>
    </row>
    <row r="234" ht="15.75" customHeight="1" thickBot="1">
      <c r="A234">
        <f>_xlfn.CONCAT(B234,,","," ",C234)</f>
        <v/>
      </c>
      <c r="B234" t="inlineStr">
        <is>
          <t>Torres</t>
        </is>
      </c>
      <c r="C234" t="inlineStr">
        <is>
          <t>Alejandra</t>
        </is>
      </c>
      <c r="D234" t="inlineStr">
        <is>
          <t>CORDOBA</t>
        </is>
      </c>
      <c r="E234" s="1" t="n">
        <v>45270</v>
      </c>
      <c r="F234" s="1" t="n">
        <v>46730</v>
      </c>
      <c r="G234" t="inlineStr">
        <is>
          <t>PROVINCIAS UNIDAS</t>
        </is>
      </c>
      <c r="H234" s="12" t="inlineStr">
        <is>
          <t>RELACIONES EXTERIORES Y CULTO | CIENCIA, TECNOLOGIA E INNOVACION PRODUCTIVA | JUSTICIA | PREVISION Y SEGURIDAD SOCIAL | DE LAS PERSONAS MAYORES | INDUSTRIA | ANALISIS Y SEGUIMIENTO DEL CUMPLIMIENTO DE NORMAS TRIBUTARIAS Y PREVISIONALES</t>
        </is>
      </c>
      <c r="I234" t="inlineStr">
        <is>
          <t>ABSTENCIÓN</t>
        </is>
      </c>
      <c r="J234" s="17" t="inlineStr">
        <is>
          <t>ABSTENCIÓN</t>
        </is>
      </c>
      <c r="L234" t="inlineStr">
        <is>
          <t>AUSENTE</t>
        </is>
      </c>
      <c r="M234" s="9" t="inlineStr">
        <is>
          <t>AFIRMATIVO</t>
        </is>
      </c>
      <c r="N234" s="17" t="inlineStr">
        <is>
          <t>AFIRMATIVO</t>
        </is>
      </c>
      <c r="O234" t="inlineStr">
        <is>
          <t>AFIRMATIVO</t>
        </is>
      </c>
      <c r="Q234" t="inlineStr">
        <is>
          <t>AFIRMATIVO</t>
        </is>
      </c>
      <c r="S234" t="inlineStr">
        <is>
          <t>NEGATIVO</t>
        </is>
      </c>
      <c r="V234" s="17" t="inlineStr">
        <is>
          <t>AUSENTE</t>
        </is>
      </c>
      <c r="W234" s="17" t="inlineStr">
        <is>
          <t>AUSENTE</t>
        </is>
      </c>
    </row>
    <row r="235" ht="15.75" customHeight="1" thickBot="1">
      <c r="A235">
        <f>_xlfn.CONCAT(B235,,","," ",C235)</f>
        <v/>
      </c>
      <c r="B235" t="inlineStr">
        <is>
          <t>Torres</t>
        </is>
      </c>
      <c r="C235" t="inlineStr">
        <is>
          <t>Rubén Darío</t>
        </is>
      </c>
      <c r="D235" t="inlineStr">
        <is>
          <t>BUENOS AIRES</t>
        </is>
      </c>
      <c r="E235" s="1" t="n">
        <v>46001</v>
      </c>
      <c r="F235" s="1" t="n">
        <v>47461</v>
      </c>
      <c r="G235" t="inlineStr">
        <is>
          <t>LA LIBERTAD AVANZA</t>
        </is>
      </c>
      <c r="H235" s="12" t="inlineStr">
        <is>
          <t>CULTURA | FINANZAS | COMERCIO | ECONOMIA | POBLACION Y DESARROLLO HUMANO | MUJERES Y DIVERSIDAD</t>
        </is>
      </c>
      <c r="I235" t="inlineStr">
        <is>
          <t>AFIRMATIVO</t>
        </is>
      </c>
      <c r="J235" s="17" t="inlineStr">
        <is>
          <t>AFIRMATIVO</t>
        </is>
      </c>
      <c r="L235" t="inlineStr">
        <is>
          <t>AFIRMATIVO</t>
        </is>
      </c>
      <c r="M235" s="9" t="inlineStr">
        <is>
          <t>AFIRMATIVO</t>
        </is>
      </c>
      <c r="N235" s="17" t="inlineStr">
        <is>
          <t>AFIRMATIVO</t>
        </is>
      </c>
      <c r="O235" t="inlineStr">
        <is>
          <t>AFIRMATIVO</t>
        </is>
      </c>
      <c r="Q235" t="inlineStr">
        <is>
          <t>AFIRMATIVO</t>
        </is>
      </c>
      <c r="S235" t="inlineStr">
        <is>
          <t>AFIRMATIVO</t>
        </is>
      </c>
      <c r="V235" s="17" t="inlineStr">
        <is>
          <t>AFIRMATIVO</t>
        </is>
      </c>
      <c r="W235" s="17" t="inlineStr">
        <is>
          <t>AFIRMATIVO</t>
        </is>
      </c>
    </row>
    <row r="236" ht="15.75" customHeight="1" thickBot="1">
      <c r="A236">
        <f>_xlfn.CONCAT(B236,,","," ",C236)</f>
        <v/>
      </c>
      <c r="B236" t="inlineStr">
        <is>
          <t>Tortoriello</t>
        </is>
      </c>
      <c r="C236" t="inlineStr">
        <is>
          <t>Aníbal</t>
        </is>
      </c>
      <c r="D236" t="inlineStr">
        <is>
          <t>RIO NEGRO</t>
        </is>
      </c>
      <c r="E236" s="1" t="n">
        <v>46001</v>
      </c>
      <c r="F236" s="1" t="n">
        <v>47461</v>
      </c>
      <c r="G236" t="inlineStr">
        <is>
          <t>LA LIBERTAD AVANZA</t>
        </is>
      </c>
      <c r="H236" s="12" t="inlineStr">
        <is>
          <t>ENERGIA Y COMBUSTIBLES | TRANSPORTES | MINERIA | PEQUEÑAS Y MEDIANAS EMPRESAS</t>
        </is>
      </c>
      <c r="I236" t="inlineStr">
        <is>
          <t>AFIRMATIVO</t>
        </is>
      </c>
      <c r="J236" s="17" t="inlineStr">
        <is>
          <t>AFIRMATIVO</t>
        </is>
      </c>
      <c r="L236" t="inlineStr">
        <is>
          <t>AFIRMATIVO</t>
        </is>
      </c>
      <c r="M236" s="9" t="inlineStr">
        <is>
          <t>AFIRMATIVO</t>
        </is>
      </c>
      <c r="N236" s="17" t="inlineStr">
        <is>
          <t>AFIRMATIVO</t>
        </is>
      </c>
      <c r="O236" t="inlineStr">
        <is>
          <t>AFIRMATIVO</t>
        </is>
      </c>
      <c r="Q236" t="inlineStr">
        <is>
          <t>AFIRMATIVO</t>
        </is>
      </c>
      <c r="S236" t="inlineStr">
        <is>
          <t>AFIRMATIVO</t>
        </is>
      </c>
      <c r="V236" s="17" t="inlineStr">
        <is>
          <t>AFIRMATIVO</t>
        </is>
      </c>
      <c r="W236" s="17" t="inlineStr">
        <is>
          <t>AFIRMATIVO</t>
        </is>
      </c>
    </row>
    <row r="237" ht="15.75" customHeight="1" thickBot="1">
      <c r="A237">
        <f>_xlfn.CONCAT(B237,,","," ",C237)</f>
        <v/>
      </c>
      <c r="B237" t="inlineStr">
        <is>
          <t>Tournier</t>
        </is>
      </c>
      <c r="C237" t="inlineStr">
        <is>
          <t>José Federico</t>
        </is>
      </c>
      <c r="D237" t="inlineStr">
        <is>
          <t>CORRIENTES</t>
        </is>
      </c>
      <c r="E237" s="1" t="n">
        <v>45518</v>
      </c>
      <c r="F237" s="1" t="n">
        <v>46730</v>
      </c>
      <c r="G237" t="inlineStr">
        <is>
          <t>LA LIBERTAD AVANZA</t>
        </is>
      </c>
      <c r="H237" s="12" t="inlineStr">
        <is>
          <t>JUSTICIA</t>
        </is>
      </c>
      <c r="I237" t="inlineStr">
        <is>
          <t>AFIRMATIVO</t>
        </is>
      </c>
      <c r="J237" s="17" t="inlineStr">
        <is>
          <t>AFIRMATIVO</t>
        </is>
      </c>
      <c r="L237" t="inlineStr">
        <is>
          <t>AFIRMATIVO</t>
        </is>
      </c>
      <c r="M237" s="9" t="inlineStr">
        <is>
          <t>AFIRMATIVO</t>
        </is>
      </c>
      <c r="N237" s="17" t="inlineStr">
        <is>
          <t>AFIRMATIVO</t>
        </is>
      </c>
      <c r="O237" t="inlineStr">
        <is>
          <t>AFIRMATIVO</t>
        </is>
      </c>
      <c r="Q237" t="inlineStr">
        <is>
          <t>AFIRMATIVO</t>
        </is>
      </c>
      <c r="S237" t="inlineStr">
        <is>
          <t>AFIRMATIVO</t>
        </is>
      </c>
      <c r="V237" s="17" t="inlineStr">
        <is>
          <t>AFIRMATIVO</t>
        </is>
      </c>
      <c r="W237" s="17" t="inlineStr">
        <is>
          <t>AFIRMATIVO</t>
        </is>
      </c>
    </row>
    <row r="238" ht="15.75" customHeight="1" thickBot="1">
      <c r="A238">
        <f>_xlfn.CONCAT(B238,,","," ",C238)</f>
        <v/>
      </c>
      <c r="B238" t="inlineStr">
        <is>
          <t>Treffinger</t>
        </is>
      </c>
      <c r="C238" t="inlineStr">
        <is>
          <t>César</t>
        </is>
      </c>
      <c r="D238" t="inlineStr">
        <is>
          <t>CHUBUT</t>
        </is>
      </c>
      <c r="E238" s="1" t="n">
        <v>45270</v>
      </c>
      <c r="F238" s="1" t="n">
        <v>46730</v>
      </c>
      <c r="G238" t="inlineStr">
        <is>
          <t>LA LIBERTAD AVANZA</t>
        </is>
      </c>
      <c r="H238" s="10" t="inlineStr">
        <is>
          <t>PRESUPUESTO Y HACIENDA | CIENCIA, TECNOLOGIA E INNOVACION PRODUCTIVA | LEGISLACION DEL TRABAJO | COMERCIO | ENERGIA Y COMBUSTIBLES | INTERESES MARITIMOS, FLUVIALES, PESQUEROS Y PORTUARIOS | JUICIO POLITICO | PEQUEÑAS Y MEDIANAS EMPRESAS | DEFENSA DEL CONSUMIDOR, DEL USUARIO Y DE LA COMPETENCIA</t>
        </is>
      </c>
      <c r="I238" t="inlineStr">
        <is>
          <t>AFIRMATIVO</t>
        </is>
      </c>
      <c r="J238" s="17" t="inlineStr">
        <is>
          <t>AFIRMATIVO</t>
        </is>
      </c>
      <c r="L238" t="inlineStr">
        <is>
          <t>AFIRMATIVO</t>
        </is>
      </c>
      <c r="M238" s="9" t="inlineStr">
        <is>
          <t>AFIRMATIVO</t>
        </is>
      </c>
      <c r="N238" s="17" t="inlineStr">
        <is>
          <t>AFIRMATIVO</t>
        </is>
      </c>
      <c r="O238" t="inlineStr">
        <is>
          <t>AFIRMATIVO</t>
        </is>
      </c>
      <c r="Q238" t="inlineStr">
        <is>
          <t>AFIRMATIVO</t>
        </is>
      </c>
      <c r="S238" t="inlineStr">
        <is>
          <t>AFIRMATIVO</t>
        </is>
      </c>
      <c r="V238" s="17" t="inlineStr">
        <is>
          <t>AFIRMATIVO</t>
        </is>
      </c>
      <c r="W238" s="17" t="inlineStr">
        <is>
          <t>AFIRMATIVO</t>
        </is>
      </c>
    </row>
    <row r="239" ht="15.75" customHeight="1" thickBot="1">
      <c r="A239">
        <f>_xlfn.CONCAT(B239,,","," ",C239)</f>
        <v/>
      </c>
      <c r="B239" t="inlineStr">
        <is>
          <t>Trotta</t>
        </is>
      </c>
      <c r="C239" t="inlineStr">
        <is>
          <t>Nicolás Alfredo</t>
        </is>
      </c>
      <c r="D239" t="inlineStr">
        <is>
          <t>BUENOS AIRES</t>
        </is>
      </c>
      <c r="E239" s="1" t="n">
        <v>46001</v>
      </c>
      <c r="F239" s="1" t="n">
        <v>47461</v>
      </c>
      <c r="G239" t="inlineStr">
        <is>
          <t>UNIÓN POR LA PATRIA</t>
        </is>
      </c>
      <c r="H239" s="12" t="inlineStr">
        <is>
          <t>RELACIONES EXTERIORES Y CULTO | EDUCACION | LEGISLACION PENAL | DEFENSA NACIONAL | COMUNICACIONES E INFORMATICA | LIBERTAD DE EXPRESION</t>
        </is>
      </c>
      <c r="I239" t="inlineStr">
        <is>
          <t>NEGATIVO</t>
        </is>
      </c>
      <c r="J239" s="17" t="inlineStr">
        <is>
          <t>NEGATIVO</t>
        </is>
      </c>
      <c r="L239" t="inlineStr">
        <is>
          <t>NEGATIVO</t>
        </is>
      </c>
      <c r="M239" s="9" t="inlineStr">
        <is>
          <t>NEGATIVO</t>
        </is>
      </c>
      <c r="N239" s="17" t="inlineStr">
        <is>
          <t>NEGATIVO</t>
        </is>
      </c>
      <c r="O239" t="inlineStr">
        <is>
          <t>NEGATIVO</t>
        </is>
      </c>
      <c r="Q239" t="inlineStr">
        <is>
          <t>NEGATIVO</t>
        </is>
      </c>
      <c r="S239" t="inlineStr">
        <is>
          <t>NEGATIVO</t>
        </is>
      </c>
      <c r="V239" s="17" t="inlineStr">
        <is>
          <t>NEGATIVO</t>
        </is>
      </c>
      <c r="W239" s="17" t="inlineStr">
        <is>
          <t>NEGATIVO</t>
        </is>
      </c>
    </row>
    <row r="240" ht="15.75" customHeight="1" thickBot="1">
      <c r="A240">
        <f>_xlfn.CONCAT(B240,,","," ",C240)</f>
        <v/>
      </c>
      <c r="B240" t="inlineStr">
        <is>
          <t>Urien</t>
        </is>
      </c>
      <c r="C240" t="inlineStr">
        <is>
          <t>Hernán</t>
        </is>
      </c>
      <c r="D240" t="inlineStr">
        <is>
          <t>BUENOS AIRES</t>
        </is>
      </c>
      <c r="E240" s="1" t="n">
        <v>46001</v>
      </c>
      <c r="F240" s="1" t="n">
        <v>47461</v>
      </c>
      <c r="G240" t="inlineStr">
        <is>
          <t>LA LIBERTAD AVANZA</t>
        </is>
      </c>
      <c r="H240" s="12" t="inlineStr">
        <is>
          <t>PREVISION Y SEGURIDAD SOCIAL | AGRICULTURA Y GANADERIA | COMERCIO | ENERGIA Y COMBUSTIBLES | INTERESES MARITIMOS, FLUVIALES, PESQUEROS Y PORTUARIOS | VIVIENDA Y ORDENAMIENTO URBANO | POBLACION Y DESARROLLO HUMANO</t>
        </is>
      </c>
      <c r="I240" t="inlineStr">
        <is>
          <t>AFIRMATIVO</t>
        </is>
      </c>
      <c r="J240" s="17" t="inlineStr">
        <is>
          <t>AFIRMATIVO</t>
        </is>
      </c>
      <c r="L240" t="inlineStr">
        <is>
          <t>AFIRMATIVO</t>
        </is>
      </c>
      <c r="M240" s="9" t="inlineStr">
        <is>
          <t>AFIRMATIVO</t>
        </is>
      </c>
      <c r="N240" s="17" t="inlineStr">
        <is>
          <t>AFIRMATIVO</t>
        </is>
      </c>
      <c r="O240" t="inlineStr">
        <is>
          <t>AFIRMATIVO</t>
        </is>
      </c>
      <c r="Q240" t="inlineStr">
        <is>
          <t>AFIRMATIVO</t>
        </is>
      </c>
      <c r="S240" t="inlineStr">
        <is>
          <t>AFIRMATIVO</t>
        </is>
      </c>
      <c r="V240" s="17" t="inlineStr">
        <is>
          <t>AFIRMATIVO</t>
        </is>
      </c>
      <c r="W240" s="17" t="inlineStr">
        <is>
          <t>AFIRMATIVO</t>
        </is>
      </c>
    </row>
    <row r="241" ht="15.75" customHeight="1" thickBot="1">
      <c r="A241">
        <f>_xlfn.CONCAT(B241,,","," ",C241)</f>
        <v/>
      </c>
      <c r="B241" t="inlineStr">
        <is>
          <t>Valdés</t>
        </is>
      </c>
      <c r="C241" t="inlineStr">
        <is>
          <t>Eduardo Félix</t>
        </is>
      </c>
      <c r="D241" t="inlineStr">
        <is>
          <t>CIUDAD DE BUENOS AIRES</t>
        </is>
      </c>
      <c r="E241" s="1" t="n">
        <v>45270</v>
      </c>
      <c r="F241" s="1" t="n">
        <v>46730</v>
      </c>
      <c r="G241" t="inlineStr">
        <is>
          <t>UNIÓN POR LA PATRIA</t>
        </is>
      </c>
      <c r="H241" s="12" t="inlineStr">
        <is>
          <t>ASUNTOS CONSTITUCIONALES | RELACIONES EXTERIORES Y CULTO | CULTURA | JUICIO POLITICO | MERCOSUR | DISCAPACIDAD</t>
        </is>
      </c>
      <c r="I241" t="inlineStr">
        <is>
          <t>NEGATIVO</t>
        </is>
      </c>
      <c r="J241" s="17" t="inlineStr">
        <is>
          <t>NEGATIVO</t>
        </is>
      </c>
      <c r="L241" t="inlineStr">
        <is>
          <t>NEGATIVO</t>
        </is>
      </c>
      <c r="M241" s="9" t="inlineStr">
        <is>
          <t>NEGATIVO</t>
        </is>
      </c>
      <c r="N241" s="17" t="inlineStr">
        <is>
          <t>NEGATIVO</t>
        </is>
      </c>
      <c r="O241" t="inlineStr">
        <is>
          <t>NEGATIVO</t>
        </is>
      </c>
      <c r="Q241" t="inlineStr">
        <is>
          <t>NEGATIVO</t>
        </is>
      </c>
      <c r="S241" t="inlineStr">
        <is>
          <t>NEGATIVO</t>
        </is>
      </c>
      <c r="V241" s="17" t="inlineStr">
        <is>
          <t>NEGATIVO</t>
        </is>
      </c>
      <c r="W241" s="17" t="inlineStr">
        <is>
          <t>NEGATIVO</t>
        </is>
      </c>
    </row>
    <row r="242" ht="15.75" customHeight="1" thickBot="1">
      <c r="A242">
        <f>_xlfn.CONCAT(B242,,","," ",C242)</f>
        <v/>
      </c>
      <c r="B242" t="inlineStr">
        <is>
          <t>Vancsik</t>
        </is>
      </c>
      <c r="C242" t="inlineStr">
        <is>
          <t>Daniel</t>
        </is>
      </c>
      <c r="D242" t="inlineStr">
        <is>
          <t>MISIONES</t>
        </is>
      </c>
      <c r="E242" s="1" t="n">
        <v>45270</v>
      </c>
      <c r="F242" s="1" t="n">
        <v>46730</v>
      </c>
      <c r="G242" t="inlineStr">
        <is>
          <t>INNOVACIÓN FEDERAL</t>
        </is>
      </c>
      <c r="H242" s="12" t="inlineStr">
        <is>
          <t>LEGISLACION GENERAL | OBRAS PUBLICAS | TRANSPORTES | TURISMO | DEPORTES</t>
        </is>
      </c>
      <c r="I242" t="inlineStr">
        <is>
          <t>AFIRMATIVO</t>
        </is>
      </c>
      <c r="J242" s="17" t="inlineStr">
        <is>
          <t>AFIRMATIVO</t>
        </is>
      </c>
      <c r="L242" t="inlineStr">
        <is>
          <t>AFIRMATIVO</t>
        </is>
      </c>
      <c r="M242" s="9" t="inlineStr">
        <is>
          <t>AFIRMATIVO</t>
        </is>
      </c>
      <c r="N242" s="17" t="inlineStr">
        <is>
          <t>AFIRMATIVO</t>
        </is>
      </c>
      <c r="O242" t="inlineStr">
        <is>
          <t>AFIRMATIVO</t>
        </is>
      </c>
      <c r="Q242" t="inlineStr">
        <is>
          <t>AFIRMATIVO</t>
        </is>
      </c>
      <c r="S242" t="inlineStr">
        <is>
          <t>AFIRMATIVO</t>
        </is>
      </c>
      <c r="V242" s="17" t="inlineStr">
        <is>
          <t>AFIRMATIVO</t>
        </is>
      </c>
      <c r="W242" s="17" t="inlineStr">
        <is>
          <t>AFIRMATIVO</t>
        </is>
      </c>
    </row>
    <row r="243" ht="15.75" customHeight="1" thickBot="1">
      <c r="A243">
        <f>_xlfn.CONCAT(B243,,","," ",C243)</f>
        <v/>
      </c>
      <c r="B243" t="inlineStr">
        <is>
          <t>Vásquez</t>
        </is>
      </c>
      <c r="C243" t="inlineStr">
        <is>
          <t>Patricia</t>
        </is>
      </c>
      <c r="D243" t="inlineStr">
        <is>
          <t>BUENOS AIRES</t>
        </is>
      </c>
      <c r="E243" s="1" t="n">
        <v>45270</v>
      </c>
      <c r="F243" s="1" t="n">
        <v>46730</v>
      </c>
      <c r="G243" t="inlineStr">
        <is>
          <t>LA LIBERTAD AVANZA</t>
        </is>
      </c>
      <c r="H243" s="12" t="inlineStr">
        <is>
          <t>LEGISLACION GENERAL | JUSTICIA | LEGISLACION PENAL | TRANSPORTES | PETICIONES, PODERES Y REGLAMENTO | SEGURIDAD INTERIOR</t>
        </is>
      </c>
      <c r="I243" t="inlineStr">
        <is>
          <t>AFIRMATIVO</t>
        </is>
      </c>
      <c r="J243" s="17" t="inlineStr">
        <is>
          <t>AFIRMATIVO</t>
        </is>
      </c>
      <c r="L243" t="inlineStr">
        <is>
          <t>AFIRMATIVO</t>
        </is>
      </c>
      <c r="M243" s="9" t="inlineStr">
        <is>
          <t>AFIRMATIVO</t>
        </is>
      </c>
      <c r="N243" s="17" t="inlineStr">
        <is>
          <t>AFIRMATIVO</t>
        </is>
      </c>
      <c r="O243" t="inlineStr">
        <is>
          <t>AFIRMATIVO</t>
        </is>
      </c>
      <c r="Q243" t="inlineStr">
        <is>
          <t>AFIRMATIVO</t>
        </is>
      </c>
      <c r="S243" t="inlineStr">
        <is>
          <t>AFIRMATIVO</t>
        </is>
      </c>
      <c r="V243" s="17" t="inlineStr">
        <is>
          <t>AFIRMATIVO</t>
        </is>
      </c>
      <c r="W243" s="17" t="inlineStr">
        <is>
          <t>AFIRMATIVO</t>
        </is>
      </c>
    </row>
    <row r="244" ht="15.75" customHeight="1" thickBot="1">
      <c r="A244">
        <f>_xlfn.CONCAT(B244,,","," ",C244)</f>
        <v/>
      </c>
      <c r="B244" t="inlineStr">
        <is>
          <t>Vega</t>
        </is>
      </c>
      <c r="C244" t="inlineStr">
        <is>
          <t>Yolanda</t>
        </is>
      </c>
      <c r="D244" t="inlineStr">
        <is>
          <t>SALTA</t>
        </is>
      </c>
      <c r="E244" s="1" t="n">
        <v>45270</v>
      </c>
      <c r="F244" s="1" t="n">
        <v>46730</v>
      </c>
      <c r="G244" t="inlineStr">
        <is>
          <t>INNOVACIÓN FEDERAL</t>
        </is>
      </c>
      <c r="H244" s="12" t="inlineStr">
        <is>
          <t>CULTURA | FAMILIAS, NIÑEZ Y JUVENTUDES | LEGISLACION PENAL | POBLACION Y DESARROLLO HUMANO | DEFENSA DEL CONSUMIDOR, DEL USUARIO Y DE LA COMPETENCIA</t>
        </is>
      </c>
      <c r="I244" t="inlineStr">
        <is>
          <t>AFIRMATIVO</t>
        </is>
      </c>
      <c r="J244" s="17" t="inlineStr">
        <is>
          <t>AFIRMATIVO</t>
        </is>
      </c>
      <c r="L244" t="inlineStr">
        <is>
          <t>AFIRMATIVO</t>
        </is>
      </c>
      <c r="M244" s="9" t="inlineStr">
        <is>
          <t>AFIRMATIVO</t>
        </is>
      </c>
      <c r="N244" s="17" t="inlineStr">
        <is>
          <t>AFIRMATIVO</t>
        </is>
      </c>
      <c r="O244" t="inlineStr">
        <is>
          <t>AFIRMATIVO</t>
        </is>
      </c>
      <c r="Q244" t="inlineStr">
        <is>
          <t>AFIRMATIVO</t>
        </is>
      </c>
      <c r="S244" t="inlineStr">
        <is>
          <t>AFIRMATIVO</t>
        </is>
      </c>
      <c r="V244" s="17" t="inlineStr">
        <is>
          <t>AFIRMATIVO</t>
        </is>
      </c>
      <c r="W244" s="17" t="inlineStr">
        <is>
          <t>AFIRMATIVO</t>
        </is>
      </c>
    </row>
    <row r="245" ht="15.75" customHeight="1" thickBot="1">
      <c r="A245">
        <f>_xlfn.CONCAT(B245,,","," ",C245)</f>
        <v/>
      </c>
      <c r="B245" t="inlineStr">
        <is>
          <t>Velázquez</t>
        </is>
      </c>
      <c r="C245" t="inlineStr">
        <is>
          <t>M. Elena</t>
        </is>
      </c>
      <c r="D245" t="inlineStr">
        <is>
          <t>BUENOS AIRES</t>
        </is>
      </c>
      <c r="E245" s="1" t="n">
        <v>46001</v>
      </c>
      <c r="F245" s="1" t="n">
        <v>47461</v>
      </c>
      <c r="G245" t="inlineStr">
        <is>
          <t>UNIÓN POR LA PATRIA</t>
        </is>
      </c>
      <c r="H245" s="12" t="inlineStr">
        <is>
          <t>JUSTICIA | PREVISION Y SEGURIDAD SOCIAL | LEGISLACION PENAL | COMERCIO | TRANSPORTES | ASUNTOS MUNICIPALES | VIVIENDA Y ORDENAMIENTO URBANO</t>
        </is>
      </c>
      <c r="I245" t="inlineStr">
        <is>
          <t>NEGATIVO</t>
        </is>
      </c>
      <c r="J245" s="17" t="inlineStr">
        <is>
          <t>NEGATIVO</t>
        </is>
      </c>
      <c r="L245" t="inlineStr">
        <is>
          <t>NEGATIVO</t>
        </is>
      </c>
      <c r="M245" s="9" t="inlineStr">
        <is>
          <t>NEGATIVO</t>
        </is>
      </c>
      <c r="N245" s="17" t="inlineStr">
        <is>
          <t>NEGATIVO</t>
        </is>
      </c>
      <c r="O245" t="inlineStr">
        <is>
          <t>AUSENTE</t>
        </is>
      </c>
      <c r="Q245" t="inlineStr">
        <is>
          <t>NEGATIVO</t>
        </is>
      </c>
      <c r="S245" t="inlineStr">
        <is>
          <t>NEGATIVO</t>
        </is>
      </c>
      <c r="V245" s="17" t="inlineStr">
        <is>
          <t>AUSENTE</t>
        </is>
      </c>
      <c r="W245" s="17" t="inlineStr">
        <is>
          <t>AUSENTE</t>
        </is>
      </c>
    </row>
    <row r="246" ht="15.75" customHeight="1" thickBot="1">
      <c r="A246">
        <f>_xlfn.CONCAT(B246,,","," ",C246)</f>
        <v/>
      </c>
      <c r="B246" t="inlineStr">
        <is>
          <t>Vera</t>
        </is>
      </c>
      <c r="C246" t="inlineStr">
        <is>
          <t>Andrea Fernanda</t>
        </is>
      </c>
      <c r="D246" t="inlineStr">
        <is>
          <t>BUENOS AIRES</t>
        </is>
      </c>
      <c r="E246" s="1" t="n">
        <v>46001</v>
      </c>
      <c r="F246" s="1" t="n">
        <v>47461</v>
      </c>
      <c r="G246" t="inlineStr">
        <is>
          <t>LA LIBERTAD AVANZA</t>
        </is>
      </c>
      <c r="H246" s="12" t="inlineStr">
        <is>
          <t>RELACIONES EXTERIORES Y CULTO | ACCION SOCIAL Y SALUD PUBLICA | DEFENSA NACIONAL | ASUNTOS MUNICIPALES | ECONOMIA | PREVENCION DE ADICCIONES Y CONTROL DEL NARCOTRAFICO | DERECHOS HUMANOS Y GARANTIAS</t>
        </is>
      </c>
      <c r="I246" t="inlineStr">
        <is>
          <t>AFIRMATIVO</t>
        </is>
      </c>
      <c r="J246" s="17" t="inlineStr">
        <is>
          <t>AFIRMATIVO</t>
        </is>
      </c>
      <c r="L246" t="inlineStr">
        <is>
          <t>AFIRMATIVO</t>
        </is>
      </c>
      <c r="M246" s="9" t="inlineStr">
        <is>
          <t>AFIRMATIVO</t>
        </is>
      </c>
      <c r="N246" s="17" t="inlineStr">
        <is>
          <t>AFIRMATIVO</t>
        </is>
      </c>
      <c r="O246" t="inlineStr">
        <is>
          <t>AFIRMATIVO</t>
        </is>
      </c>
      <c r="Q246" t="inlineStr">
        <is>
          <t>AFIRMATIVO</t>
        </is>
      </c>
      <c r="S246" t="inlineStr">
        <is>
          <t>AFIRMATIVO</t>
        </is>
      </c>
      <c r="V246" s="17" t="inlineStr">
        <is>
          <t>AFIRMATIVO</t>
        </is>
      </c>
      <c r="W246" s="17" t="inlineStr">
        <is>
          <t>AFIRMATIVO</t>
        </is>
      </c>
    </row>
    <row r="247" ht="15.75" customHeight="1" thickBot="1">
      <c r="A247">
        <f>_xlfn.CONCAT(B247,,","," ",C247)</f>
        <v/>
      </c>
      <c r="B247" t="inlineStr">
        <is>
          <t>Verasay</t>
        </is>
      </c>
      <c r="C247" t="inlineStr">
        <is>
          <t>Pamela Fernanda</t>
        </is>
      </c>
      <c r="D247" t="inlineStr">
        <is>
          <t>MENDOZA</t>
        </is>
      </c>
      <c r="E247" s="1" t="n">
        <v>46001</v>
      </c>
      <c r="F247" s="1" t="n">
        <v>47461</v>
      </c>
      <c r="G247" t="inlineStr">
        <is>
          <t>UCR - UNIÓN CÍVICA RADICAL</t>
        </is>
      </c>
      <c r="H247" s="10" t="inlineStr">
        <is>
          <t>ACCION SOCIAL Y SALUD PUBLICA | FAMILIAS, NIÑEZ Y JUVENTUDES | LEGISLACION DEL TRABAJO | FINANZAS | ENERGIA Y COMBUSTIBLES | COMUNICACIONES E INFORMATICA | PETICIONES, PODERES Y REGLAMENTO | JUICIO POLITICO | RECURSOS NATURALES Y CONSERVACION DEL AMBIENTE HUMANO</t>
        </is>
      </c>
      <c r="I247" t="inlineStr">
        <is>
          <t>AFIRMATIVO</t>
        </is>
      </c>
      <c r="J247" s="17" t="inlineStr">
        <is>
          <t>AFIRMATIVO</t>
        </is>
      </c>
      <c r="L247" t="inlineStr">
        <is>
          <t>AFIRMATIVO</t>
        </is>
      </c>
      <c r="M247" s="9" t="inlineStr">
        <is>
          <t>AFIRMATIVO</t>
        </is>
      </c>
      <c r="N247" s="17" t="inlineStr">
        <is>
          <t>AFIRMATIVO</t>
        </is>
      </c>
      <c r="O247" t="inlineStr">
        <is>
          <t>AFIRMATIVO</t>
        </is>
      </c>
      <c r="Q247" t="inlineStr">
        <is>
          <t>AFIRMATIVO</t>
        </is>
      </c>
      <c r="S247" t="inlineStr">
        <is>
          <t>AFIRMATIVO</t>
        </is>
      </c>
      <c r="V247" s="17" t="inlineStr">
        <is>
          <t>AFIRMATIVO</t>
        </is>
      </c>
      <c r="W247" s="17" t="inlineStr">
        <is>
          <t>AFIRMATIVO</t>
        </is>
      </c>
    </row>
    <row r="248" ht="15.75" customHeight="1" thickBot="1">
      <c r="A248">
        <f>_xlfn.CONCAT(B248,,","," ",C248)</f>
        <v/>
      </c>
      <c r="B248" t="inlineStr">
        <is>
          <t>Villaverde</t>
        </is>
      </c>
      <c r="C248" t="inlineStr">
        <is>
          <t>Lorena</t>
        </is>
      </c>
      <c r="D248" t="inlineStr">
        <is>
          <t>RIO NEGRO</t>
        </is>
      </c>
      <c r="E248" s="1" t="n">
        <v>45270</v>
      </c>
      <c r="F248" s="1" t="n">
        <v>46730</v>
      </c>
      <c r="G248" t="inlineStr">
        <is>
          <t>LA LIBERTAD AVANZA</t>
        </is>
      </c>
      <c r="H248" s="12" t="inlineStr">
        <is>
          <t>LEGISLACION GENERAL | CIENCIA, TECNOLOGIA E INNOVACION PRODUCTIVA | LEGISLACION DEL TRABAJO | ENERGIA Y COMBUSTIBLES | RECURSOS NATURALES Y CONSERVACION DEL AMBIENTE HUMANO | TURISMO | MINERIA</t>
        </is>
      </c>
      <c r="I248" t="inlineStr">
        <is>
          <t>AFIRMATIVO</t>
        </is>
      </c>
      <c r="J248" s="17" t="inlineStr">
        <is>
          <t>AFIRMATIVO</t>
        </is>
      </c>
      <c r="L248" t="inlineStr">
        <is>
          <t>AFIRMATIVO</t>
        </is>
      </c>
      <c r="M248" s="9" t="inlineStr">
        <is>
          <t>AFIRMATIVO</t>
        </is>
      </c>
      <c r="N248" s="17" t="inlineStr">
        <is>
          <t>AFIRMATIVO</t>
        </is>
      </c>
      <c r="O248" t="inlineStr">
        <is>
          <t>AFIRMATIVO</t>
        </is>
      </c>
      <c r="Q248" t="inlineStr">
        <is>
          <t>AFIRMATIVO</t>
        </is>
      </c>
      <c r="S248" t="inlineStr">
        <is>
          <t>AFIRMATIVO</t>
        </is>
      </c>
      <c r="V248" s="17" t="inlineStr">
        <is>
          <t>AFIRMATIVO</t>
        </is>
      </c>
      <c r="W248" s="17" t="inlineStr">
        <is>
          <t>AFIRMATIVO</t>
        </is>
      </c>
    </row>
    <row r="249" ht="15.75" customHeight="1" thickBot="1">
      <c r="A249">
        <f>_xlfn.CONCAT(B249,,","," ",C249)</f>
        <v/>
      </c>
      <c r="B249" t="inlineStr">
        <is>
          <t>Visconti</t>
        </is>
      </c>
      <c r="C249" t="inlineStr">
        <is>
          <t>Gino</t>
        </is>
      </c>
      <c r="D249" t="inlineStr">
        <is>
          <t>LA RIOJA</t>
        </is>
      </c>
      <c r="E249" s="1" t="n">
        <v>46001</v>
      </c>
      <c r="F249" s="1" t="n">
        <v>47461</v>
      </c>
      <c r="G249" t="inlineStr">
        <is>
          <t>LA LIBERTAD AVANZA</t>
        </is>
      </c>
      <c r="H249" s="12" t="inlineStr">
        <is>
          <t>PRESUPUESTO Y HACIENDA | FINANZAS | COMERCIO | ENERGIA Y COMBUSTIBLES | MINERIA | PEQUEÑAS Y MEDIANAS EMPRESAS</t>
        </is>
      </c>
      <c r="I249" t="inlineStr">
        <is>
          <t>AFIRMATIVO</t>
        </is>
      </c>
      <c r="J249" s="17" t="inlineStr">
        <is>
          <t>AFIRMATIVO</t>
        </is>
      </c>
      <c r="L249" t="inlineStr">
        <is>
          <t>AFIRMATIVO</t>
        </is>
      </c>
      <c r="M249" s="9" t="inlineStr">
        <is>
          <t>AFIRMATIVO</t>
        </is>
      </c>
      <c r="N249" s="17" t="inlineStr">
        <is>
          <t>AFIRMATIVO</t>
        </is>
      </c>
      <c r="O249" t="inlineStr">
        <is>
          <t>AFIRMATIVO</t>
        </is>
      </c>
      <c r="Q249" t="inlineStr">
        <is>
          <t>AFIRMATIVO</t>
        </is>
      </c>
      <c r="S249" t="inlineStr">
        <is>
          <t>AFIRMATIVO</t>
        </is>
      </c>
      <c r="V249" s="17" t="inlineStr">
        <is>
          <t>AFIRMATIVO</t>
        </is>
      </c>
      <c r="W249" s="17" t="inlineStr">
        <is>
          <t>AFIRMATIVO</t>
        </is>
      </c>
    </row>
    <row r="250" ht="15.75" customHeight="1" thickBot="1">
      <c r="A250">
        <f>_xlfn.CONCAT(B250,,","," ",C250)</f>
        <v/>
      </c>
      <c r="B250" t="inlineStr">
        <is>
          <t>Volnovich</t>
        </is>
      </c>
      <c r="C250" t="inlineStr">
        <is>
          <t>Luana</t>
        </is>
      </c>
      <c r="D250" t="inlineStr">
        <is>
          <t>BUENOS AIRES</t>
        </is>
      </c>
      <c r="E250" s="1" t="n">
        <v>45270</v>
      </c>
      <c r="F250" s="1" t="n">
        <v>46730</v>
      </c>
      <c r="G250" t="inlineStr">
        <is>
          <t>UNIÓN POR LA PATRIA</t>
        </is>
      </c>
      <c r="H250" s="12" t="inlineStr">
        <is>
          <t>EDUCACION | CIENCIA, TECNOLOGIA E INNOVACION PRODUCTIVA | FAMILIAS, NIÑEZ Y JUVENTUDES | DE LAS PERSONAS MAYORES | COMUNICACIONES E INFORMATICA</t>
        </is>
      </c>
      <c r="I250" t="inlineStr">
        <is>
          <t>NEGATIVO</t>
        </is>
      </c>
      <c r="J250" s="17" t="inlineStr">
        <is>
          <t>NEGATIVO</t>
        </is>
      </c>
      <c r="L250" t="inlineStr">
        <is>
          <t>NEGATIVO</t>
        </is>
      </c>
      <c r="M250" s="9" t="inlineStr">
        <is>
          <t>NEGATIVO</t>
        </is>
      </c>
      <c r="N250" s="17" t="inlineStr">
        <is>
          <t>NEGATIVO</t>
        </is>
      </c>
      <c r="O250" t="inlineStr">
        <is>
          <t>NEGATIVO</t>
        </is>
      </c>
      <c r="Q250" t="inlineStr">
        <is>
          <t>NEGATIVO</t>
        </is>
      </c>
      <c r="S250" t="inlineStr">
        <is>
          <t>NEGATIVO</t>
        </is>
      </c>
      <c r="V250" s="17" t="inlineStr">
        <is>
          <t>NEGATIVO</t>
        </is>
      </c>
      <c r="W250" s="17" t="inlineStr">
        <is>
          <t>NEGATIVO</t>
        </is>
      </c>
    </row>
    <row r="251" ht="15.75" customHeight="1" thickBot="1">
      <c r="A251">
        <f>_xlfn.CONCAT(B251,,","," ",C251)</f>
        <v/>
      </c>
      <c r="B251" t="inlineStr">
        <is>
          <t>Yasky</t>
        </is>
      </c>
      <c r="C251" t="inlineStr">
        <is>
          <t>Hugo</t>
        </is>
      </c>
      <c r="D251" t="inlineStr">
        <is>
          <t>BUENOS AIRES</t>
        </is>
      </c>
      <c r="E251" s="1" t="n">
        <v>46001</v>
      </c>
      <c r="F251" s="1" t="n">
        <v>47461</v>
      </c>
      <c r="G251" t="inlineStr">
        <is>
          <t>UNIÓN POR LA PATRIA</t>
        </is>
      </c>
      <c r="H251" s="12" t="inlineStr">
        <is>
          <t>EDUCACION | PREVISION Y SEGURIDAD SOCIAL | LEGISLACION DEL TRABAJO | DERECHOS HUMANOS Y GARANTIAS | DEFENSA DEL CONSUMIDOR, DEL USUARIO Y DE LA COMPETENCIA | LIBERTAD DE EXPRESION</t>
        </is>
      </c>
      <c r="I251" t="inlineStr">
        <is>
          <t>NEGATIVO</t>
        </is>
      </c>
      <c r="J251" s="17" t="inlineStr">
        <is>
          <t>NEGATIVO</t>
        </is>
      </c>
      <c r="L251" t="inlineStr">
        <is>
          <t>NEGATIVO</t>
        </is>
      </c>
      <c r="M251" s="9" t="inlineStr">
        <is>
          <t>NEGATIVO</t>
        </is>
      </c>
      <c r="N251" s="17" t="inlineStr">
        <is>
          <t>NEGATIVO</t>
        </is>
      </c>
      <c r="O251" t="inlineStr">
        <is>
          <t>NEGATIVO</t>
        </is>
      </c>
      <c r="Q251" t="inlineStr">
        <is>
          <t>AUSENTE</t>
        </is>
      </c>
      <c r="S251" t="inlineStr">
        <is>
          <t>AUSENTE</t>
        </is>
      </c>
      <c r="V251" s="17" t="inlineStr">
        <is>
          <t>NEGATIVO</t>
        </is>
      </c>
      <c r="W251" s="17" t="inlineStr">
        <is>
          <t>NEGATIVO</t>
        </is>
      </c>
    </row>
    <row r="252" ht="15.75" customHeight="1" thickBot="1">
      <c r="A252">
        <f>_xlfn.CONCAT(B252,,","," ",C252)</f>
        <v/>
      </c>
      <c r="B252" t="inlineStr">
        <is>
          <t>Yedlin</t>
        </is>
      </c>
      <c r="C252" t="inlineStr">
        <is>
          <t>Pablo Raúl</t>
        </is>
      </c>
      <c r="D252" t="inlineStr">
        <is>
          <t>TUCUMAN</t>
        </is>
      </c>
      <c r="E252" s="1" t="n">
        <v>45270</v>
      </c>
      <c r="F252" s="1" t="n">
        <v>46730</v>
      </c>
      <c r="G252" t="inlineStr">
        <is>
          <t>UNIÓN POR LA PATRIA</t>
        </is>
      </c>
      <c r="H252" s="12" t="inlineStr">
        <is>
          <t>PRESUPUESTO Y HACIENDA | CIENCIA, TECNOLOGIA E INNOVACION PRODUCTIVA | ACCION SOCIAL Y SALUD PUBLICA | FAMILIAS, NIÑEZ Y JUVENTUDES | PREVENCION DE ADICCIONES Y CONTROL DEL NARCOTRAFICO | POBLACION Y DESARROLLO HUMANO | DISCAPACIDAD</t>
        </is>
      </c>
      <c r="I252" t="inlineStr">
        <is>
          <t>NEGATIVO</t>
        </is>
      </c>
      <c r="J252" s="17" t="inlineStr">
        <is>
          <t>NEGATIVO</t>
        </is>
      </c>
      <c r="L252" t="inlineStr">
        <is>
          <t>NEGATIVO</t>
        </is>
      </c>
      <c r="M252" s="9" t="inlineStr">
        <is>
          <t>AUSENTE</t>
        </is>
      </c>
      <c r="N252" s="17" t="inlineStr">
        <is>
          <t>NEGATIVO</t>
        </is>
      </c>
      <c r="O252" t="inlineStr">
        <is>
          <t>AFIRMATIVO</t>
        </is>
      </c>
      <c r="Q252" t="inlineStr">
        <is>
          <t>NEGATIVO</t>
        </is>
      </c>
      <c r="S252" t="inlineStr">
        <is>
          <t>NEGATIVO</t>
        </is>
      </c>
      <c r="V252" s="17" t="inlineStr">
        <is>
          <t>NEGATIVO</t>
        </is>
      </c>
      <c r="W252" s="17" t="inlineStr">
        <is>
          <t>NEGATIVO</t>
        </is>
      </c>
    </row>
    <row r="253" ht="15.75" customHeight="1" thickBot="1">
      <c r="A253">
        <f>_xlfn.CONCAT(B253,,","," ",C253)</f>
        <v/>
      </c>
      <c r="B253" t="inlineStr">
        <is>
          <t>Yeza</t>
        </is>
      </c>
      <c r="C253" t="inlineStr">
        <is>
          <t>Martín</t>
        </is>
      </c>
      <c r="D253" t="inlineStr">
        <is>
          <t>BUENOS AIRES</t>
        </is>
      </c>
      <c r="E253" s="1" t="n">
        <v>45270</v>
      </c>
      <c r="F253" s="1" t="n">
        <v>46730</v>
      </c>
      <c r="G253" t="inlineStr">
        <is>
          <t>PRO</t>
        </is>
      </c>
      <c r="H253" s="12" t="inlineStr">
        <is>
          <t>CIENCIA, TECNOLOGIA E INNOVACION PRODUCTIVA | PREVISION Y SEGURIDAD SOCIAL | ACCION SOCIAL Y SALUD PUBLICA | LEGISLACION PENAL | INDUSTRIA | VIVIENDA Y ORDENAMIENTO URBANO | POBLACION Y DESARROLLO HUMANO</t>
        </is>
      </c>
      <c r="I253" t="inlineStr">
        <is>
          <t>AFIRMATIVO</t>
        </is>
      </c>
      <c r="J253" s="17" t="inlineStr">
        <is>
          <t>AFIRMATIVO</t>
        </is>
      </c>
      <c r="L253" t="inlineStr">
        <is>
          <t>AFIRMATIVO</t>
        </is>
      </c>
      <c r="M253" s="9" t="inlineStr">
        <is>
          <t>AFIRMATIVO</t>
        </is>
      </c>
      <c r="N253" s="17" t="inlineStr">
        <is>
          <t>AFIRMATIVO</t>
        </is>
      </c>
      <c r="O253" t="inlineStr">
        <is>
          <t>AFIRMATIVO</t>
        </is>
      </c>
      <c r="Q253" t="inlineStr">
        <is>
          <t>AFIRMATIVO</t>
        </is>
      </c>
      <c r="S253" t="inlineStr">
        <is>
          <t>AFIRMATIVO</t>
        </is>
      </c>
      <c r="V253" s="17" t="inlineStr">
        <is>
          <t>AFIRMATIVO</t>
        </is>
      </c>
      <c r="W253" s="17" t="inlineStr">
        <is>
          <t>AFIRMATIVO</t>
        </is>
      </c>
    </row>
    <row r="254" ht="15.75" customHeight="1" thickBot="1">
      <c r="A254">
        <f>_xlfn.CONCAT(B254,,","," ",C254)</f>
        <v/>
      </c>
      <c r="B254" t="inlineStr">
        <is>
          <t>Zago</t>
        </is>
      </c>
      <c r="C254" t="inlineStr">
        <is>
          <t>Oscar</t>
        </is>
      </c>
      <c r="D254" t="inlineStr">
        <is>
          <t>CIUDAD DE BUENOS AIRES</t>
        </is>
      </c>
      <c r="E254" s="1" t="n">
        <v>45270</v>
      </c>
      <c r="F254" s="1" t="n">
        <v>46730</v>
      </c>
      <c r="G254" t="inlineStr">
        <is>
          <t>MID - MOVIMIENTO DE INTEGRACIÓN Y DESARROLLO</t>
        </is>
      </c>
      <c r="H254" s="12" t="inlineStr">
        <is>
          <t>INTERESES MARITIMOS, FLUVIALES, PESQUEROS Y PORTUARIOS</t>
        </is>
      </c>
      <c r="I254" t="inlineStr">
        <is>
          <t>AFIRMATIVO</t>
        </is>
      </c>
      <c r="J254" s="17" t="inlineStr">
        <is>
          <t>AFIRMATIVO</t>
        </is>
      </c>
      <c r="L254" t="inlineStr">
        <is>
          <t>AFIRMATIVO</t>
        </is>
      </c>
      <c r="M254" s="9" t="inlineStr">
        <is>
          <t>ABSTENCIÓN</t>
        </is>
      </c>
      <c r="N254" s="17" t="inlineStr">
        <is>
          <t>AFIRMATIVO</t>
        </is>
      </c>
      <c r="O254" t="inlineStr">
        <is>
          <t>AFIRMATIVO</t>
        </is>
      </c>
      <c r="Q254" t="inlineStr">
        <is>
          <t>AFIRMATIVO</t>
        </is>
      </c>
      <c r="S254" t="inlineStr">
        <is>
          <t>AFIRMATIVO</t>
        </is>
      </c>
      <c r="V254" s="17" t="inlineStr">
        <is>
          <t>AFIRMATIVO</t>
        </is>
      </c>
      <c r="W254" s="17" t="inlineStr">
        <is>
          <t>AFIRMATIVO</t>
        </is>
      </c>
    </row>
    <row r="255" ht="15.75" customHeight="1" thickBot="1">
      <c r="A255">
        <f>_xlfn.CONCAT(B255,,","," ",C255)</f>
        <v/>
      </c>
      <c r="B255" t="inlineStr">
        <is>
          <t>Zapata</t>
        </is>
      </c>
      <c r="C255" t="inlineStr">
        <is>
          <t>Carlos Raúl</t>
        </is>
      </c>
      <c r="D255" t="inlineStr">
        <is>
          <t>SALTA</t>
        </is>
      </c>
      <c r="E255" s="1" t="n">
        <v>46001</v>
      </c>
      <c r="F255" s="1" t="n">
        <v>47461</v>
      </c>
      <c r="G255" t="inlineStr">
        <is>
          <t>LA LIBERTAD AVANZA</t>
        </is>
      </c>
      <c r="H255" s="12" t="inlineStr">
        <is>
          <t>PRESUPUESTO Y HACIENDA | DEFENSA NACIONAL | AGRICULTURA Y GANADERIA | FINANZAS | ECONOMIAS Y DESARROLLO REGIONAL | ANALISIS Y SEGUIMIENTO DEL CUMPLIMIENTO DE NORMAS TRIBUTARIAS Y PREVISIONALES | SEGURIDAD INTERIOR</t>
        </is>
      </c>
      <c r="I255" t="inlineStr">
        <is>
          <t>AFIRMATIVO</t>
        </is>
      </c>
      <c r="J255" s="17" t="inlineStr">
        <is>
          <t>AFIRMATIVO</t>
        </is>
      </c>
      <c r="L255" t="inlineStr">
        <is>
          <t>AFIRMATIVO</t>
        </is>
      </c>
      <c r="M255" s="9" t="inlineStr">
        <is>
          <t>AFIRMATIVO</t>
        </is>
      </c>
      <c r="N255" s="17" t="inlineStr">
        <is>
          <t>AFIRMATIVO</t>
        </is>
      </c>
      <c r="O255" t="inlineStr">
        <is>
          <t>AFIRMATIVO</t>
        </is>
      </c>
      <c r="Q255" t="inlineStr">
        <is>
          <t>AFIRMATIVO</t>
        </is>
      </c>
      <c r="S255" t="inlineStr">
        <is>
          <t>AFIRMATIVO</t>
        </is>
      </c>
      <c r="V255" s="17" t="inlineStr">
        <is>
          <t>AFIRMATIVO</t>
        </is>
      </c>
      <c r="W255" s="17" t="inlineStr">
        <is>
          <t>AFIRMATIVO</t>
        </is>
      </c>
    </row>
    <row r="256" ht="15.75" customHeight="1" thickBot="1">
      <c r="A256">
        <f>_xlfn.CONCAT(B256,,","," ",C256)</f>
        <v/>
      </c>
      <c r="B256" t="inlineStr">
        <is>
          <t>Zaracho</t>
        </is>
      </c>
      <c r="C256" t="inlineStr">
        <is>
          <t>Natalia</t>
        </is>
      </c>
      <c r="D256" t="inlineStr">
        <is>
          <t>BUENOS AIRES</t>
        </is>
      </c>
      <c r="E256" s="1" t="n">
        <v>45270</v>
      </c>
      <c r="F256" s="1" t="n">
        <v>46730</v>
      </c>
      <c r="G256" t="inlineStr">
        <is>
          <t>UNIÓN POR LA PATRIA</t>
        </is>
      </c>
      <c r="H256" s="12" t="inlineStr">
        <is>
          <t>LEGISLACION GENERAL | ACCION SOCIAL Y SALUD PUBLICA | LEGISLACION DEL TRABAJO | DEPORTES | ASUNTOS COOPERATIVOS, MUTUALES Y ORGANIZACIONES NO GUBERNAMENTALES | MUJERES Y DIVERSIDAD</t>
        </is>
      </c>
      <c r="I256" t="inlineStr">
        <is>
          <t>NEGATIVO</t>
        </is>
      </c>
      <c r="J256" s="17" t="inlineStr">
        <is>
          <t>NEGATIVO</t>
        </is>
      </c>
      <c r="L256" t="inlineStr">
        <is>
          <t>NEGATIVO</t>
        </is>
      </c>
      <c r="M256" s="9" t="inlineStr">
        <is>
          <t>NEGATIVO</t>
        </is>
      </c>
      <c r="N256" s="17" t="inlineStr">
        <is>
          <t>NEGATIVO</t>
        </is>
      </c>
      <c r="O256" t="inlineStr">
        <is>
          <t>NEGATIVO</t>
        </is>
      </c>
      <c r="Q256" t="inlineStr">
        <is>
          <t>NEGATIVO</t>
        </is>
      </c>
      <c r="S256" t="inlineStr">
        <is>
          <t>NEGATIVO</t>
        </is>
      </c>
      <c r="V256" s="17" t="inlineStr">
        <is>
          <t>NEGATIVO</t>
        </is>
      </c>
      <c r="W256" s="17" t="inlineStr">
        <is>
          <t>NEGATIVO</t>
        </is>
      </c>
    </row>
    <row r="257" ht="15.75" customHeight="1" thickBot="1">
      <c r="A257">
        <f>_xlfn.CONCAT(B257,,","," ",C257)</f>
        <v/>
      </c>
      <c r="B257" t="inlineStr">
        <is>
          <t>Zigarán</t>
        </is>
      </c>
      <c r="C257" t="inlineStr">
        <is>
          <t>María Inés</t>
        </is>
      </c>
      <c r="D257" t="inlineStr">
        <is>
          <t>JUJUY</t>
        </is>
      </c>
      <c r="E257" s="1" t="n">
        <v>46001</v>
      </c>
      <c r="F257" s="1" t="n">
        <v>47461</v>
      </c>
      <c r="G257" t="inlineStr">
        <is>
          <t>PROVINCIAS UNIDAS</t>
        </is>
      </c>
      <c r="H257" s="12" t="inlineStr">
        <is>
          <t>FAMILIAS, NIÑEZ Y JUVENTUDES | DE LAS PERSONAS MAYORES | RECURSOS NATURALES Y CONSERVACION DEL AMBIENTE HUMANO | POBLACION Y DESARROLLO HUMANO | DERECHOS HUMANOS Y GARANTIAS | DISCAPACIDAD | MUJERES Y DIVERSIDAD</t>
        </is>
      </c>
      <c r="I257" t="inlineStr">
        <is>
          <t>ABSTENCIÓN</t>
        </is>
      </c>
      <c r="J257" s="17" t="inlineStr">
        <is>
          <t>NEGATIVO</t>
        </is>
      </c>
      <c r="L257" t="inlineStr">
        <is>
          <t>NEGATIVO</t>
        </is>
      </c>
      <c r="M257" s="9" t="inlineStr">
        <is>
          <t>NEGATIVO</t>
        </is>
      </c>
      <c r="N257" s="17" t="inlineStr">
        <is>
          <t>AUSENTE</t>
        </is>
      </c>
      <c r="O257" t="inlineStr">
        <is>
          <t>AFIRMATIVO</t>
        </is>
      </c>
      <c r="Q257" t="inlineStr">
        <is>
          <t>ABSTENCION</t>
        </is>
      </c>
      <c r="S257" t="inlineStr">
        <is>
          <t>AFIRMATIVO</t>
        </is>
      </c>
      <c r="V257" s="17" t="inlineStr">
        <is>
          <t>ABSTENCION</t>
        </is>
      </c>
      <c r="W257" s="17" t="inlineStr">
        <is>
          <t>AUSENTE</t>
        </is>
      </c>
    </row>
    <row r="258" ht="15.75" customHeight="1" thickBot="1">
      <c r="A258">
        <f>_xlfn.CONCAT(B258,,","," ",C258)</f>
        <v/>
      </c>
      <c r="B258" t="inlineStr">
        <is>
          <t>Zulli</t>
        </is>
      </c>
      <c r="C258" t="inlineStr">
        <is>
          <t>Christian Alejandro</t>
        </is>
      </c>
      <c r="D258" t="inlineStr">
        <is>
          <t>CORRIENTES</t>
        </is>
      </c>
      <c r="E258" s="1" t="n">
        <v>45270</v>
      </c>
      <c r="F258" s="1" t="n">
        <v>46730</v>
      </c>
      <c r="G258" t="inlineStr">
        <is>
          <t>UNIÓN POR LA PATRIA</t>
        </is>
      </c>
      <c r="H258" s="12" t="inlineStr">
        <is>
          <t>PREVISION Y SEGURIDAD SOCIAL | OBRAS PUBLICAS | AGRICULTURA Y GANADERIA | ANALISIS Y SEGUIMIENTO DEL CUMPLIMIENTO DE NORMAS TRIBUTARIAS Y PREVISIONALES | MERCOSUR</t>
        </is>
      </c>
      <c r="I258" s="17" t="inlineStr">
        <is>
          <t>NEGATIVO</t>
        </is>
      </c>
      <c r="J258" s="17" t="inlineStr">
        <is>
          <t>NEGATIVO</t>
        </is>
      </c>
      <c r="L258" t="inlineStr">
        <is>
          <t>NEGATIVO</t>
        </is>
      </c>
      <c r="M258" s="9" t="inlineStr">
        <is>
          <t>NEGATIVO</t>
        </is>
      </c>
      <c r="N258" s="17" t="inlineStr">
        <is>
          <t>NEGATIVO</t>
        </is>
      </c>
      <c r="O258" t="inlineStr">
        <is>
          <t>ABSTENCIÓN</t>
        </is>
      </c>
      <c r="Q258" t="inlineStr">
        <is>
          <t>NEGATIVO</t>
        </is>
      </c>
      <c r="S258" t="inlineStr">
        <is>
          <t>NEGATIVO</t>
        </is>
      </c>
      <c r="V258" s="17" t="inlineStr">
        <is>
          <t>NEGATIVO</t>
        </is>
      </c>
      <c r="W258" s="17" t="inlineStr">
        <is>
          <t>NEGATIVO</t>
        </is>
      </c>
    </row>
  </sheetData>
  <autoFilter ref="A1:L258">
    <sortState ref="A2:L258">
      <sortCondition ref="A1:A258"/>
    </sortState>
  </autoFilter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73"/>
  <sheetViews>
    <sheetView tabSelected="1" zoomScale="70" zoomScaleNormal="70" workbookViewId="0">
      <selection activeCell="AE13" sqref="AE13"/>
    </sheetView>
  </sheetViews>
  <sheetFormatPr baseColWidth="10" defaultRowHeight="15"/>
  <cols>
    <col width="36.7109375" bestFit="1" customWidth="1" min="1" max="1"/>
    <col hidden="1" width="27.140625" customWidth="1" min="2" max="2"/>
    <col hidden="1" width="19.5703125" customWidth="1" min="3" max="3"/>
    <col width="43.5703125" customWidth="1" min="4" max="4"/>
    <col hidden="1" width="8" customWidth="1" min="5" max="5"/>
    <col width="9.140625" customWidth="1" min="6" max="6"/>
    <col hidden="1" width="9.140625" customWidth="1" min="7" max="16"/>
    <col width="27" customWidth="1" min="17" max="17"/>
    <col hidden="1" width="24.85546875" customWidth="1" min="18" max="18"/>
    <col hidden="1" width="11.42578125" customWidth="1" min="19" max="19"/>
    <col hidden="1" width="11.42578125" customWidth="1" style="6" min="20" max="20"/>
    <col hidden="1" width="10.5703125" customWidth="1" min="21" max="21"/>
    <col hidden="1" width="11.42578125" customWidth="1" min="22" max="23"/>
    <col hidden="1" width="5.7109375" customWidth="1" min="24" max="24"/>
    <col hidden="1" min="32" max="32"/>
  </cols>
  <sheetData>
    <row r="1" ht="15.75" customHeight="1" thickBot="1">
      <c r="A1" s="2" t="inlineStr">
        <is>
          <t>Senador</t>
        </is>
      </c>
      <c r="B1" s="2" t="inlineStr">
        <is>
          <t>NOMBRE</t>
        </is>
      </c>
      <c r="C1" s="2" t="inlineStr">
        <is>
          <t>APELLIDO</t>
        </is>
      </c>
      <c r="D1" s="2" t="inlineStr">
        <is>
          <t>Bloque</t>
        </is>
      </c>
      <c r="E1" t="inlineStr">
        <is>
          <t>PROVINCIA</t>
        </is>
      </c>
      <c r="F1" t="inlineStr">
        <is>
          <t>PARTIDO O ALIANZA POR EL QUE INGRESÓ</t>
        </is>
      </c>
      <c r="G1" t="inlineStr">
        <is>
          <t>DESIGNACIÓN LEGAL</t>
        </is>
      </c>
      <c r="H1" t="inlineStr">
        <is>
          <t>CESE LEGAL</t>
        </is>
      </c>
      <c r="I1" t="inlineStr">
        <is>
          <t>DESIGNACIÓN REAL</t>
        </is>
      </c>
      <c r="J1" t="inlineStr">
        <is>
          <t>CESE REAL</t>
        </is>
      </c>
      <c r="K1" t="inlineStr">
        <is>
          <t>EMAIL</t>
        </is>
      </c>
      <c r="L1" t="inlineStr">
        <is>
          <t>TELEFONO</t>
        </is>
      </c>
      <c r="M1" t="inlineStr">
        <is>
          <t>FACEBOOK</t>
        </is>
      </c>
      <c r="N1" t="inlineStr">
        <is>
          <t>TWITTER</t>
        </is>
      </c>
      <c r="O1" t="inlineStr">
        <is>
          <t>INSTAGRAM</t>
        </is>
      </c>
      <c r="P1" t="inlineStr">
        <is>
          <t>YOUTUBE</t>
        </is>
      </c>
      <c r="Q1" s="2" t="inlineStr">
        <is>
          <t>Comisión  a la que pertenece</t>
        </is>
      </c>
      <c r="R1" s="2" t="inlineStr">
        <is>
          <t>Presupuesto 2026</t>
        </is>
      </c>
      <c r="S1" s="2" t="inlineStr">
        <is>
          <t>Ley Inocencia Fiscal</t>
        </is>
      </c>
      <c r="T1" s="5" t="inlineStr">
        <is>
          <t xml:space="preserve">Ley Compromiso Nacional </t>
        </is>
      </c>
      <c r="U1" s="2" t="inlineStr">
        <is>
          <t>Ley Modernización Laboral</t>
        </is>
      </c>
      <c r="V1" s="2" t="inlineStr">
        <is>
          <t>Ley Glaciares</t>
        </is>
      </c>
      <c r="W1" s="2" t="inlineStr">
        <is>
          <t>Ley de Régimen Penal Juvenil</t>
        </is>
      </c>
      <c r="X1" s="2" t="inlineStr">
        <is>
          <t>Acuerdo UE - Mercosur</t>
        </is>
      </c>
      <c r="Y1" s="2" t="inlineStr">
        <is>
          <t>Financiamiento Universitario</t>
        </is>
      </c>
      <c r="Z1" s="2" t="inlineStr">
        <is>
          <t>Ley Hojarasca</t>
        </is>
      </c>
      <c r="AA1" s="2" t="inlineStr">
        <is>
          <t>Reforma Electoral</t>
        </is>
      </c>
      <c r="AB1" s="2" t="inlineStr">
        <is>
          <t>Régimen Zonas Frías</t>
        </is>
      </c>
      <c r="AC1" s="2" t="inlineStr">
        <is>
          <t>Patentes (PCT)</t>
        </is>
      </c>
      <c r="AD1" s="2" t="inlineStr">
        <is>
          <t>Ley de Lobby</t>
        </is>
      </c>
      <c r="AE1" s="2" t="inlineStr">
        <is>
          <t>Super RIGI</t>
        </is>
      </c>
      <c r="AF1" s="2" t="inlineStr">
        <is>
          <t>CONCILIACIÓN E/ LA REP. ARG. Y BAINBRIDGE LTD. Y E/ LA REP. ARG. Y EL GRUPO DE ACREED. ENCABEZADO POR ATTESTOR VMF</t>
        </is>
      </c>
    </row>
    <row r="2" ht="15.75" customHeight="1" thickBot="1">
      <c r="A2">
        <f>_xlfn.CONCAT(C2," ",B2)</f>
        <v/>
      </c>
      <c r="B2" t="inlineStr">
        <is>
          <t>MAXIMILIANO</t>
        </is>
      </c>
      <c r="C2" t="inlineStr">
        <is>
          <t>ABAD</t>
        </is>
      </c>
      <c r="D2" t="inlineStr">
        <is>
          <t>UCR - UNIÓN CÍVICA RADICAL</t>
        </is>
      </c>
      <c r="E2" t="inlineStr">
        <is>
          <t>BUENOS AIRES</t>
        </is>
      </c>
      <c r="F2" t="inlineStr">
        <is>
          <t>ALIANZA UNIÓN POR LA PATRIA</t>
        </is>
      </c>
      <c r="G2" t="inlineStr">
        <is>
          <t>2023-12-10</t>
        </is>
      </c>
      <c r="H2" t="inlineStr">
        <is>
          <t>2029-12-09</t>
        </is>
      </c>
      <c r="I2" t="inlineStr">
        <is>
          <t>2023-12-10</t>
        </is>
      </c>
      <c r="J2" t="inlineStr">
        <is>
          <t>Sin Datos</t>
        </is>
      </c>
      <c r="K2" t="inlineStr">
        <is>
          <t>fernando.salino@senado.gob.ar</t>
        </is>
      </c>
      <c r="L2" t="n">
        <v>1524</v>
      </c>
      <c r="M2" t="inlineStr">
        <is>
          <t>https://www.facebook.com/fersalino</t>
        </is>
      </c>
      <c r="N2" t="inlineStr">
        <is>
          <t>https://twitter.com/Fernando_Salino</t>
        </is>
      </c>
      <c r="O2" t="inlineStr">
        <is>
          <t>https://www.instagram.com/fernando_salino1</t>
        </is>
      </c>
      <c r="Q2" s="11" t="inlineStr">
        <is>
          <t>De Acuerdos | De Asuntos Administrativos y Municipales | De Coparticipación Federal de Impuestos | De Deporte | De Derechos y Garantías | De Legislación General | De Relaciones Exteriores y Culto</t>
        </is>
      </c>
      <c r="R2" t="inlineStr">
        <is>
          <t>Negativo</t>
        </is>
      </c>
      <c r="S2" t="inlineStr">
        <is>
          <t>Afirmativo</t>
        </is>
      </c>
      <c r="U2" t="inlineStr">
        <is>
          <t>Afirmativo</t>
        </is>
      </c>
      <c r="V2" t="inlineStr">
        <is>
          <t>NEGATIVO</t>
        </is>
      </c>
      <c r="W2" t="inlineStr">
        <is>
          <t>Afirmativo</t>
        </is>
      </c>
      <c r="X2" t="inlineStr">
        <is>
          <t>AFIRMATIVO</t>
        </is>
      </c>
      <c r="AF2" s="17" t="inlineStr">
        <is>
          <t>AFIRMATIVO</t>
        </is>
      </c>
    </row>
    <row r="3" ht="15.75" customHeight="1" thickBot="1">
      <c r="A3">
        <f>_xlfn.CONCAT(C3," ",B3)</f>
        <v/>
      </c>
      <c r="B3" t="inlineStr">
        <is>
          <t>BARTOLOMÉ ESTEBAN</t>
        </is>
      </c>
      <c r="C3" t="inlineStr">
        <is>
          <t>ABDALA</t>
        </is>
      </c>
      <c r="D3" t="inlineStr">
        <is>
          <t>LA LIBERTAD AVANZA</t>
        </is>
      </c>
      <c r="E3" t="inlineStr">
        <is>
          <t>SAN LUIS</t>
        </is>
      </c>
      <c r="F3" t="inlineStr">
        <is>
          <t>ALIANZA UNIÓN POR LA PATRIA</t>
        </is>
      </c>
      <c r="G3" t="inlineStr">
        <is>
          <t>2023-12-10</t>
        </is>
      </c>
      <c r="H3" t="inlineStr">
        <is>
          <t>2029-12-09</t>
        </is>
      </c>
      <c r="I3" t="inlineStr">
        <is>
          <t>2023-12-10</t>
        </is>
      </c>
      <c r="J3" t="inlineStr">
        <is>
          <t>Sin Datos</t>
        </is>
      </c>
      <c r="K3" t="inlineStr">
        <is>
          <t>alicia.kirchner@senado.gob.ar</t>
        </is>
      </c>
      <c r="L3" t="inlineStr">
        <is>
          <t>1389 / 1390</t>
        </is>
      </c>
      <c r="Q3" s="12" t="inlineStr">
        <is>
          <t>Bicameral Permanente de Fiscalización de los Órganos y Actividades de Seguridad Interior (Ley 24.059 y Sus Modificatorias Leyes 24.194 y 25.520) | De Coparticipación Federal de Impuestos | De Defensa Nacional | De Deporte | De Economía Nacional e Inversión | De Industria y Comercio | De Legislación General | De Presupuesto y Hacienda</t>
        </is>
      </c>
      <c r="R3" t="inlineStr">
        <is>
          <t>Afirmativo</t>
        </is>
      </c>
      <c r="S3" t="inlineStr">
        <is>
          <t>Afirmativo</t>
        </is>
      </c>
      <c r="U3" t="inlineStr">
        <is>
          <t>Afirmativo</t>
        </is>
      </c>
      <c r="V3" t="inlineStr">
        <is>
          <t>AFIRMATIVO</t>
        </is>
      </c>
      <c r="W3" t="inlineStr">
        <is>
          <t>Afirmativo</t>
        </is>
      </c>
      <c r="X3" t="inlineStr">
        <is>
          <t>AFIRMATIVO</t>
        </is>
      </c>
      <c r="AF3" s="17" t="inlineStr">
        <is>
          <t>AFIRMATIVO</t>
        </is>
      </c>
    </row>
    <row r="4" ht="15.75" customHeight="1" thickBot="1">
      <c r="A4">
        <f>_xlfn.CONCAT(C4," ",B4)</f>
        <v/>
      </c>
      <c r="B4" t="inlineStr">
        <is>
          <t>ROMINA MARÍA</t>
        </is>
      </c>
      <c r="C4" t="inlineStr">
        <is>
          <t>ALMEIDA</t>
        </is>
      </c>
      <c r="D4" t="inlineStr">
        <is>
          <t>LA LIBERTAD AVANZA</t>
        </is>
      </c>
      <c r="E4" t="inlineStr">
        <is>
          <t>ENTRE RÍOS</t>
        </is>
      </c>
      <c r="F4" t="inlineStr">
        <is>
          <t>JUNTOS POR EL CAMBIO</t>
        </is>
      </c>
      <c r="G4" t="inlineStr">
        <is>
          <t>2021-12-10</t>
        </is>
      </c>
      <c r="H4" t="inlineStr">
        <is>
          <t>2027-12-09</t>
        </is>
      </c>
      <c r="I4" t="inlineStr">
        <is>
          <t>2021-12-10</t>
        </is>
      </c>
      <c r="J4" t="inlineStr">
        <is>
          <t>Sin Datos</t>
        </is>
      </c>
      <c r="K4" t="inlineStr">
        <is>
          <t>daniel.kroneberger@senado.gob.ar</t>
        </is>
      </c>
      <c r="L4" t="inlineStr">
        <is>
          <t>1321 / 1324</t>
        </is>
      </c>
      <c r="M4" t="inlineStr">
        <is>
          <t>https://www.facebook.com/kronebergerdaniel</t>
        </is>
      </c>
      <c r="N4" t="inlineStr">
        <is>
          <t>https://twitter.com/Dkroneberger</t>
        </is>
      </c>
      <c r="O4" t="inlineStr">
        <is>
          <t>https://www.instagram.com/kroneberger_daniel/?hl=en</t>
        </is>
      </c>
      <c r="Q4" s="12" t="inlineStr">
        <is>
          <t>Bicameral Permanente de la Defensoría del Pueblo | Bicameral Permanente de Promoción y Seguimiento de la Comunicación Audiovisual, las Tecnologías de las Telecomunicaciones y la Digitalización (Ley 26.522,Y Sus Modificatorias 27.078 y Dnu 267/15) | Banca de la Mujer | De Ambiente y Desarrollo Sustentable | De Ciencia y Tecnología | De Economías Regionales, Economía Social, Micro, Pequeña y Mediana Empresa | De Educación y Cultura | De Industria y Comercio | De Infraestructura, Vivienda y Transporte | De Turismo</t>
        </is>
      </c>
      <c r="R4" t="inlineStr">
        <is>
          <t>Afirmativo</t>
        </is>
      </c>
      <c r="S4" t="inlineStr">
        <is>
          <t>Afirmativo</t>
        </is>
      </c>
      <c r="U4" t="inlineStr">
        <is>
          <t>Afirmativo</t>
        </is>
      </c>
      <c r="V4" t="inlineStr">
        <is>
          <t>AFIRMATIVO</t>
        </is>
      </c>
      <c r="W4" t="inlineStr">
        <is>
          <t>Afirmativo</t>
        </is>
      </c>
      <c r="X4" t="inlineStr">
        <is>
          <t>AFIRMATIVO</t>
        </is>
      </c>
      <c r="AF4" s="17" t="inlineStr">
        <is>
          <t>AFIRMATIVO</t>
        </is>
      </c>
    </row>
    <row r="5" ht="15.75" customHeight="1" thickBot="1">
      <c r="A5">
        <f>_xlfn.CONCAT(C5," ",B5)</f>
        <v/>
      </c>
      <c r="B5" t="inlineStr">
        <is>
          <t>CARMEN</t>
        </is>
      </c>
      <c r="C5" t="inlineStr">
        <is>
          <t>ÁLVAREZ RIVERO</t>
        </is>
      </c>
      <c r="D5" t="inlineStr">
        <is>
          <t>LA LIBERTAD AVANZA</t>
        </is>
      </c>
      <c r="E5" t="inlineStr">
        <is>
          <t>CÓRDOBA</t>
        </is>
      </c>
      <c r="F5" t="inlineStr">
        <is>
          <t>FRENTE DE TODOS</t>
        </is>
      </c>
      <c r="G5" t="inlineStr">
        <is>
          <t>2021-12-10</t>
        </is>
      </c>
      <c r="H5" t="inlineStr">
        <is>
          <t>2027-12-09</t>
        </is>
      </c>
      <c r="I5" t="inlineStr">
        <is>
          <t>2021-12-10</t>
        </is>
      </c>
      <c r="J5" t="inlineStr">
        <is>
          <t>Sin Datos</t>
        </is>
      </c>
      <c r="K5" t="inlineStr">
        <is>
          <t>marcelo.lewandowski@senado.gob.ar</t>
        </is>
      </c>
      <c r="L5" t="n">
        <v>1215</v>
      </c>
      <c r="Q5" s="12" t="inlineStr">
        <is>
          <t>Bicameral Permanente del Defensor de los Derechos de Niñas, Niños y Adolescentes (Ley 26.061) | Banca de la Mujer | De Agricultura, Ganadería y Pesca | De Coparticipación Federal de Impuestos | De Economía Nacional e Inversión | De Educación y Cultura | De Población y Desarrollo Humano | De Presupuesto y Hacienda | De Salud</t>
        </is>
      </c>
      <c r="R5" t="inlineStr">
        <is>
          <t>Afirmativo</t>
        </is>
      </c>
      <c r="S5" t="inlineStr">
        <is>
          <t>Afirmativo</t>
        </is>
      </c>
      <c r="U5" t="inlineStr">
        <is>
          <t>Afirmativo</t>
        </is>
      </c>
      <c r="V5" t="inlineStr">
        <is>
          <t>AFIRMATIVO</t>
        </is>
      </c>
      <c r="W5" t="inlineStr">
        <is>
          <t>Afirmativo</t>
        </is>
      </c>
      <c r="X5" t="inlineStr">
        <is>
          <t>AFIRMATIVO</t>
        </is>
      </c>
      <c r="AF5" s="17" t="inlineStr">
        <is>
          <t>AFIRMATIVO</t>
        </is>
      </c>
    </row>
    <row r="6" ht="15.75" customHeight="1" thickBot="1">
      <c r="A6">
        <f>_xlfn.CONCAT(C6," ",B6)</f>
        <v/>
      </c>
      <c r="B6" t="inlineStr">
        <is>
          <t>GUILLERMO EDUARDO</t>
        </is>
      </c>
      <c r="C6" t="inlineStr">
        <is>
          <t>ANDRADA</t>
        </is>
      </c>
      <c r="D6" t="inlineStr">
        <is>
          <t>CONVICCIÓN FEDERAL</t>
        </is>
      </c>
      <c r="E6" t="inlineStr">
        <is>
          <t>CATAMARCA</t>
        </is>
      </c>
      <c r="F6" t="inlineStr">
        <is>
          <t>JUNTOS POR EL CAMBIO</t>
        </is>
      </c>
      <c r="G6" t="inlineStr">
        <is>
          <t>2023-12-10</t>
        </is>
      </c>
      <c r="H6" t="inlineStr">
        <is>
          <t>2029-12-09</t>
        </is>
      </c>
      <c r="I6" t="inlineStr">
        <is>
          <t>2023-12-10</t>
        </is>
      </c>
      <c r="J6" t="inlineStr">
        <is>
          <t>Sin Datos</t>
        </is>
      </c>
      <c r="K6" t="inlineStr">
        <is>
          <t>maximiliano.abad@senado.gob.ar</t>
        </is>
      </c>
      <c r="L6" t="inlineStr">
        <is>
          <t>1045 / 1046</t>
        </is>
      </c>
      <c r="M6" t="inlineStr">
        <is>
          <t>https://www.facebook.com/maxiabad?mibextid=9R9pXO</t>
        </is>
      </c>
      <c r="N6" t="inlineStr">
        <is>
          <t>https://x.com/maxiabad?s=11</t>
        </is>
      </c>
      <c r="O6" t="inlineStr">
        <is>
          <t>https://www.instagram.com/maxi.abad?igsh=MXc2YzF3YWduc3hneA==</t>
        </is>
      </c>
      <c r="Q6" s="12" t="inlineStr">
        <is>
          <t>Bicameral Permanente de Promoción y Seguimiento de la Comunicación Audiovisual, las Tecnologías de las Telecomunicaciones y la Digitalización (Ley 26.522,Y Sus Modificatorias 27.078 y Dnu 267/15) | Bicameral Permanente Parlamentaria Mixta Revisora de Cuentas | De Ciencia y Tecnología | De Economía Nacional e Inversión | De Economías Regionales, Economía Social, Micro, Pequeña y Mediana Empresa | De Presupuesto y Hacienda | De Relaciones Exteriores y Culto | De Salud | De Sistemas, Medios de Comunicación y Libertad de Expresión</t>
        </is>
      </c>
      <c r="R6" t="inlineStr">
        <is>
          <t>Afirmativo</t>
        </is>
      </c>
      <c r="S6" t="inlineStr">
        <is>
          <t>Abstención</t>
        </is>
      </c>
      <c r="U6" t="inlineStr">
        <is>
          <t>Negativo</t>
        </is>
      </c>
      <c r="V6" t="inlineStr">
        <is>
          <t>AFIRMATIVO</t>
        </is>
      </c>
      <c r="W6" t="inlineStr">
        <is>
          <t>Negativo</t>
        </is>
      </c>
      <c r="X6" t="inlineStr">
        <is>
          <t>AFIRMATIVO</t>
        </is>
      </c>
      <c r="AF6" s="17" t="inlineStr">
        <is>
          <t>AFIRMATIVO</t>
        </is>
      </c>
    </row>
    <row r="7" ht="15.75" customHeight="1" thickBot="1">
      <c r="A7">
        <f>_xlfn.CONCAT(C7," ",B7)</f>
        <v/>
      </c>
      <c r="B7" t="inlineStr">
        <is>
          <t>CARLOS OMAR</t>
        </is>
      </c>
      <c r="C7" t="inlineStr">
        <is>
          <t>ARCE</t>
        </is>
      </c>
      <c r="D7" t="inlineStr">
        <is>
          <t>ENCUENTRO MISIONERO</t>
        </is>
      </c>
      <c r="E7" t="inlineStr">
        <is>
          <t>MISIONES</t>
        </is>
      </c>
      <c r="F7" t="inlineStr">
        <is>
          <t>ALIANZA LA LIBERTAD AVANZA</t>
        </is>
      </c>
      <c r="G7" t="inlineStr">
        <is>
          <t>2025-12-10</t>
        </is>
      </c>
      <c r="H7" t="inlineStr">
        <is>
          <t>2031-12-09</t>
        </is>
      </c>
      <c r="I7" t="inlineStr">
        <is>
          <t>2025-12-10</t>
        </is>
      </c>
      <c r="J7" t="inlineStr">
        <is>
          <t>Sin Datos</t>
        </is>
      </c>
      <c r="K7" t="inlineStr">
        <is>
          <t>joaquin.benegas@senado.gob.ar</t>
        </is>
      </c>
      <c r="Q7" s="12" t="inlineStr">
        <is>
          <t>De Acuerdos | De Deporte | De Infraestructura, Vivienda y Transporte | De Justicia y Asuntos Penales | De Salud | De Turismo</t>
        </is>
      </c>
      <c r="R7" t="inlineStr">
        <is>
          <t>Afirmativo</t>
        </is>
      </c>
      <c r="S7" t="inlineStr">
        <is>
          <t>Afirmativo</t>
        </is>
      </c>
      <c r="U7" t="inlineStr">
        <is>
          <t>Afirmativo</t>
        </is>
      </c>
      <c r="V7" t="inlineStr">
        <is>
          <t>AFIRMATIVO</t>
        </is>
      </c>
      <c r="W7" t="inlineStr">
        <is>
          <t>Afirmativo</t>
        </is>
      </c>
      <c r="X7" t="inlineStr">
        <is>
          <t>AFIRMATIVO</t>
        </is>
      </c>
      <c r="AF7" s="17" t="inlineStr">
        <is>
          <t>AFIRMATIVO</t>
        </is>
      </c>
    </row>
    <row r="8" ht="15.75" customHeight="1" thickBot="1">
      <c r="A8">
        <f>_xlfn.CONCAT(C8," ",B8)</f>
        <v/>
      </c>
      <c r="B8" t="inlineStr">
        <is>
          <t>IVANNA MARCELA</t>
        </is>
      </c>
      <c r="C8" t="inlineStr">
        <is>
          <t>ARRASCAETA</t>
        </is>
      </c>
      <c r="D8" t="inlineStr">
        <is>
          <t>LA LIBERTAD AVANZA</t>
        </is>
      </c>
      <c r="E8" t="inlineStr">
        <is>
          <t>SAN LUIS</t>
        </is>
      </c>
      <c r="F8" t="inlineStr">
        <is>
          <t>FRENTE DE TODOS</t>
        </is>
      </c>
      <c r="G8" t="inlineStr">
        <is>
          <t>2021-12-10</t>
        </is>
      </c>
      <c r="H8" t="inlineStr">
        <is>
          <t>2027-12-09</t>
        </is>
      </c>
      <c r="I8" t="inlineStr">
        <is>
          <t>2021-12-10</t>
        </is>
      </c>
      <c r="J8" t="inlineStr">
        <is>
          <t>Sin Datos</t>
        </is>
      </c>
      <c r="K8" t="inlineStr">
        <is>
          <t>carlos.linares@senado.gob.ar</t>
        </is>
      </c>
      <c r="L8" t="inlineStr">
        <is>
          <t>1373 / 1371 / 1368</t>
        </is>
      </c>
      <c r="M8" t="inlineStr">
        <is>
          <t>https://www.facebook.com/LinaresCarlosCR</t>
        </is>
      </c>
      <c r="N8" t="inlineStr">
        <is>
          <t>https://twitter.com/LinaresCarlosCR</t>
        </is>
      </c>
      <c r="O8" t="inlineStr">
        <is>
          <t>https://www.instagram.com/carloslinarescr/</t>
        </is>
      </c>
      <c r="Q8" s="12" t="inlineStr">
        <is>
          <t>Banca de la Mujer | De Ambiente y Desarrollo Sustentable | De Coparticipación Federal de Impuestos | De Deporte | De Economía Nacional e Inversión | De Educación y Cultura | De Relaciones Exteriores y Culto | De Salud</t>
        </is>
      </c>
      <c r="R8" t="inlineStr">
        <is>
          <t>Afirmativo</t>
        </is>
      </c>
      <c r="S8" t="inlineStr">
        <is>
          <t>Afirmativo</t>
        </is>
      </c>
      <c r="U8" t="inlineStr">
        <is>
          <t>Afirmativo</t>
        </is>
      </c>
      <c r="V8" t="inlineStr">
        <is>
          <t>AFIRMATIVO</t>
        </is>
      </c>
      <c r="W8" t="inlineStr">
        <is>
          <t>Afirmativo</t>
        </is>
      </c>
      <c r="X8" t="inlineStr">
        <is>
          <t>AFIRMATIVO</t>
        </is>
      </c>
      <c r="AF8" s="17" t="inlineStr">
        <is>
          <t>AFIRMATIVO</t>
        </is>
      </c>
    </row>
    <row r="9" ht="15.75" customHeight="1" thickBot="1">
      <c r="A9">
        <f>_xlfn.CONCAT(C9," ",B9)</f>
        <v/>
      </c>
      <c r="B9" t="inlineStr">
        <is>
          <t>EZEQUIEL</t>
        </is>
      </c>
      <c r="C9" t="inlineStr">
        <is>
          <t>ATAUCHE</t>
        </is>
      </c>
      <c r="D9" t="inlineStr">
        <is>
          <t>LA LIBERTAD AVANZA</t>
        </is>
      </c>
      <c r="E9" t="inlineStr">
        <is>
          <t>JUJUY</t>
        </is>
      </c>
      <c r="F9" t="inlineStr">
        <is>
          <t>ALIANZA FRENTE DE TODOS</t>
        </is>
      </c>
      <c r="G9" t="inlineStr">
        <is>
          <t>2025-12-10</t>
        </is>
      </c>
      <c r="H9" t="inlineStr">
        <is>
          <t>2031-12-09</t>
        </is>
      </c>
      <c r="I9" t="inlineStr">
        <is>
          <t>2025-12-10</t>
        </is>
      </c>
      <c r="J9" t="inlineStr">
        <is>
          <t>Sin Datos</t>
        </is>
      </c>
      <c r="K9" t="inlineStr">
        <is>
          <t>cristina.lopez@senado.gob.ar</t>
        </is>
      </c>
      <c r="Q9" s="12" t="inlineStr">
        <is>
          <t>Bicameral Permanente Parlamentaria Mixta Revisora de Cuentas | De Ambiente y Desarrollo Sustentable | De Asuntos Administrativos y Municipales | De Ciencia y Tecnología | De Derechos y Garantías | De Minería, Energía y Combustibles</t>
        </is>
      </c>
      <c r="R9" t="inlineStr">
        <is>
          <t>Afirmativo</t>
        </is>
      </c>
      <c r="S9" t="inlineStr">
        <is>
          <t>Afirmativo</t>
        </is>
      </c>
      <c r="U9" t="inlineStr">
        <is>
          <t>Afirmativo</t>
        </is>
      </c>
      <c r="V9" t="inlineStr">
        <is>
          <t>AFIRMATIVO</t>
        </is>
      </c>
      <c r="W9" t="inlineStr">
        <is>
          <t>Afirmativo</t>
        </is>
      </c>
      <c r="X9" t="inlineStr">
        <is>
          <t>AFIRMATIVO</t>
        </is>
      </c>
      <c r="AF9" s="17" t="inlineStr">
        <is>
          <t>AFIRMATIVO</t>
        </is>
      </c>
    </row>
    <row r="10" ht="15.75" customHeight="1" thickBot="1">
      <c r="A10">
        <f>_xlfn.CONCAT(C10," ",B10)</f>
        <v/>
      </c>
      <c r="B10" t="inlineStr">
        <is>
          <t>BEATRIZ LUISA</t>
        </is>
      </c>
      <c r="C10" t="inlineStr">
        <is>
          <t>AVILA</t>
        </is>
      </c>
      <c r="D10" t="inlineStr">
        <is>
          <t>INDEPENDENCIA</t>
        </is>
      </c>
      <c r="E10" t="inlineStr">
        <is>
          <t>TUCUMÁN</t>
        </is>
      </c>
      <c r="F10" t="inlineStr">
        <is>
          <t>ALIANZA LA LIBERTAD AVANZA</t>
        </is>
      </c>
      <c r="G10" t="inlineStr">
        <is>
          <t>2025-12-10</t>
        </is>
      </c>
      <c r="H10" t="inlineStr">
        <is>
          <t>2031-12-09</t>
        </is>
      </c>
      <c r="I10" t="inlineStr">
        <is>
          <t>2025-12-10</t>
        </is>
      </c>
      <c r="J10" t="inlineStr">
        <is>
          <t>Sin Datos</t>
        </is>
      </c>
      <c r="K10" t="inlineStr">
        <is>
          <t>patricia.bullrich@senado.gob.ar</t>
        </is>
      </c>
      <c r="Q10" s="12" t="inlineStr">
        <is>
          <t>Bicameral Permanente de la Defensoría del Pueblo | Banca de la Mujer | De Asuntos Constitucionales | De Deporte | De Economías Regionales, Economía Social, Micro, Pequeña y Mediana Empresa | De Educación y Cultura | De Justicia y Asuntos Penales | De Presupuesto y Hacienda</t>
        </is>
      </c>
      <c r="R10" t="inlineStr">
        <is>
          <t>Afirmativo</t>
        </is>
      </c>
      <c r="S10" t="inlineStr">
        <is>
          <t>Afirmativo</t>
        </is>
      </c>
      <c r="U10" t="inlineStr">
        <is>
          <t>Afirmativo</t>
        </is>
      </c>
      <c r="V10" t="inlineStr">
        <is>
          <t>AFIRMATIVO</t>
        </is>
      </c>
      <c r="W10" t="inlineStr">
        <is>
          <t>Afirmativo</t>
        </is>
      </c>
      <c r="X10" t="inlineStr">
        <is>
          <t>AFIRMATIVO</t>
        </is>
      </c>
      <c r="AF10" s="17" t="inlineStr">
        <is>
          <t>AFIRMATIVO</t>
        </is>
      </c>
    </row>
    <row r="11" ht="15.75" customHeight="1" thickBot="1">
      <c r="A11">
        <f>_xlfn.CONCAT(C11," ",B11)</f>
        <v/>
      </c>
      <c r="B11" t="inlineStr">
        <is>
          <t>ADÁN HUMBERTO</t>
        </is>
      </c>
      <c r="C11" t="inlineStr">
        <is>
          <t>BAHL</t>
        </is>
      </c>
      <c r="D11" t="inlineStr">
        <is>
          <t>JUSTICIALISTA</t>
        </is>
      </c>
      <c r="E11" t="inlineStr">
        <is>
          <t>ENTRE RÍOS</t>
        </is>
      </c>
      <c r="F11" t="inlineStr">
        <is>
          <t>FUERZA PATRIA</t>
        </is>
      </c>
      <c r="G11" t="inlineStr">
        <is>
          <t>2025-12-10</t>
        </is>
      </c>
      <c r="H11" t="inlineStr">
        <is>
          <t>2031-12-09</t>
        </is>
      </c>
      <c r="I11" t="inlineStr">
        <is>
          <t>2025-12-10</t>
        </is>
      </c>
      <c r="J11" t="inlineStr">
        <is>
          <t>Sin Datos</t>
        </is>
      </c>
      <c r="K11" t="inlineStr">
        <is>
          <t>jorge.capitanich@senado.gob.ar</t>
        </is>
      </c>
      <c r="Q11" s="12" t="inlineStr">
        <is>
          <t>Bicameral de Reforma del Estado y del Seguimiento de las Privatizaciones (Ley 23.696) | Bicameral Permanente de Fiscalización de los Órganos y Actividades de Seguridad Interior (Ley 24.059 y Sus Modificatorias Leyes 24.194 y 25.520) | Bicameral Permanente de Seguimiento y Control del Ministerio Público de la Nación (Ley 24.946 y Sus Modificatorias Ley 27.148 y 27.149) | De Economía Nacional e Inversión | De Economías Regionales, Economía Social, Micro, Pequeña y Mediana Empresa | De Relaciones Exteriores y Culto | De Seguridad Interior y Narcotráfico</t>
        </is>
      </c>
      <c r="R11" t="inlineStr">
        <is>
          <t>Negativo</t>
        </is>
      </c>
      <c r="S11" t="inlineStr">
        <is>
          <t>Negativo</t>
        </is>
      </c>
      <c r="U11" t="inlineStr">
        <is>
          <t>Negativo</t>
        </is>
      </c>
      <c r="V11" t="inlineStr">
        <is>
          <t>NEGATIVO</t>
        </is>
      </c>
      <c r="W11" t="inlineStr">
        <is>
          <t>Negativo</t>
        </is>
      </c>
      <c r="X11" t="inlineStr">
        <is>
          <t>AFIRMATIVO</t>
        </is>
      </c>
      <c r="AF11" s="17" t="inlineStr">
        <is>
          <t>AUSENTE</t>
        </is>
      </c>
    </row>
    <row r="12" ht="15.75" customHeight="1" thickBot="1">
      <c r="A12">
        <f>_xlfn.CONCAT(C12," ",B12)</f>
        <v/>
      </c>
      <c r="B12" t="inlineStr">
        <is>
          <t>VILMA FACUNDA</t>
        </is>
      </c>
      <c r="C12" t="inlineStr">
        <is>
          <t>BEDIA</t>
        </is>
      </c>
      <c r="D12" t="inlineStr">
        <is>
          <t>LA LIBERTAD AVANZA</t>
        </is>
      </c>
      <c r="E12" t="inlineStr">
        <is>
          <t>JUJUY</t>
        </is>
      </c>
      <c r="F12" t="inlineStr">
        <is>
          <t>ALIANZA UNIÓN POR LA PATRIA</t>
        </is>
      </c>
      <c r="G12" t="inlineStr">
        <is>
          <t>2023-12-10</t>
        </is>
      </c>
      <c r="H12" t="inlineStr">
        <is>
          <t>2029-12-09</t>
        </is>
      </c>
      <c r="I12" t="inlineStr">
        <is>
          <t>2023-12-10</t>
        </is>
      </c>
      <c r="J12" t="inlineStr">
        <is>
          <t>Sin Datos</t>
        </is>
      </c>
      <c r="K12" t="inlineStr">
        <is>
          <t>florencia.lopez@senado.gob.ar</t>
        </is>
      </c>
      <c r="L12" t="inlineStr">
        <is>
          <t>1330/1331/3529 / 3530</t>
        </is>
      </c>
      <c r="M12" t="inlineStr">
        <is>
          <t>https://www.facebook.com/share/19thWpNnL2/?mibextid=wwXIfr</t>
        </is>
      </c>
      <c r="N12" t="inlineStr">
        <is>
          <t>https://twitter.com/florelop?s=21&amp;t=Lw6vKRLT-9lZyXSvaCKo8Q</t>
        </is>
      </c>
      <c r="O12" t="inlineStr">
        <is>
          <t>https://www.instagram.com/florelop?igsh=MW5vdndpcjB5NnN6Mw==</t>
        </is>
      </c>
      <c r="Q12" s="12" t="inlineStr">
        <is>
          <t>Bicameral Permanente del Defensor de los Derechos de Niñas, Niños y Adolescentes (Ley 26.061) | Banca de la Mujer | De Ambiente y Desarrollo Sustentable | De Asuntos Administrativos y Municipales | De Ciencia y Tecnología | De Economías Regionales, Economía Social, Micro, Pequeña y Mediana Empresa | De Educación y Cultura | De Sistemas, Medios de Comunicación y Libertad de Expresión | De Turismo</t>
        </is>
      </c>
      <c r="R12" t="inlineStr">
        <is>
          <t>Afirmativo</t>
        </is>
      </c>
      <c r="S12" t="inlineStr">
        <is>
          <t>Afirmativo</t>
        </is>
      </c>
      <c r="U12" t="inlineStr">
        <is>
          <t>Afirmativo</t>
        </is>
      </c>
      <c r="V12" t="inlineStr">
        <is>
          <t>AFIRMATIVO</t>
        </is>
      </c>
      <c r="W12" t="inlineStr">
        <is>
          <t>Afirmativo</t>
        </is>
      </c>
      <c r="X12" t="inlineStr">
        <is>
          <t>AFIRMATIVO</t>
        </is>
      </c>
      <c r="AF12" s="17" t="inlineStr">
        <is>
          <t>AFIRMATIVO</t>
        </is>
      </c>
    </row>
    <row r="13" ht="15.75" customHeight="1" thickBot="1">
      <c r="A13">
        <f>_xlfn.CONCAT(C13," ",B13)</f>
        <v/>
      </c>
      <c r="B13" t="inlineStr">
        <is>
          <t>JOAQUÍN ALBERTO</t>
        </is>
      </c>
      <c r="C13" t="inlineStr">
        <is>
          <t>BENEGAS LYNCH</t>
        </is>
      </c>
      <c r="D13" t="inlineStr">
        <is>
          <t>LA LIBERTAD AVANZA</t>
        </is>
      </c>
      <c r="E13" t="inlineStr">
        <is>
          <t>ENTRE RÍOS</t>
        </is>
      </c>
      <c r="F13" t="inlineStr">
        <is>
          <t>JUNTOS POR EL CAMBIO</t>
        </is>
      </c>
      <c r="G13" t="inlineStr">
        <is>
          <t>2021-12-10</t>
        </is>
      </c>
      <c r="H13" t="inlineStr">
        <is>
          <t>2027-12-09</t>
        </is>
      </c>
      <c r="I13" t="inlineStr">
        <is>
          <t>2021-12-10</t>
        </is>
      </c>
      <c r="J13" t="inlineStr">
        <is>
          <t>Sin Datos</t>
        </is>
      </c>
      <c r="K13" t="inlineStr">
        <is>
          <t>carolina.losada@senado.gob.ar</t>
        </is>
      </c>
      <c r="L13" t="inlineStr">
        <is>
          <t>5421 / 1426 / 1423</t>
        </is>
      </c>
      <c r="M13" t="inlineStr">
        <is>
          <t>https://www.facebook.com/carolosada</t>
        </is>
      </c>
      <c r="N13" t="inlineStr">
        <is>
          <t>https://twitter.com/carolinalosada</t>
        </is>
      </c>
      <c r="O13" t="inlineStr">
        <is>
          <t>https://www.instagram.com/carolosada</t>
        </is>
      </c>
      <c r="P13" t="inlineStr">
        <is>
          <t>https://www.youtube.com/@carolinalosadasenadora?si=biSelDnRlatwDG_o</t>
        </is>
      </c>
      <c r="Q13" s="12" t="inlineStr">
        <is>
          <t>Bicameral de Reforma del Estado y del Seguimiento de las Privatizaciones (Ley 23.696) | De Agricultura, Ganadería y Pesca | De Economías Regionales, Economía Social, Micro, Pequeña y Mediana Empresa | De Industria y Comercio | De Infraestructura, Vivienda y Transporte | De Población y Desarrollo Humano | De Trabajo y Previsión Social</t>
        </is>
      </c>
      <c r="R13" t="inlineStr">
        <is>
          <t>Afirmativo</t>
        </is>
      </c>
      <c r="S13" t="inlineStr">
        <is>
          <t>Afirmativo</t>
        </is>
      </c>
      <c r="U13" t="inlineStr">
        <is>
          <t>Afirmativo</t>
        </is>
      </c>
      <c r="V13" t="inlineStr">
        <is>
          <t>AFIRMATIVO</t>
        </is>
      </c>
      <c r="W13" t="inlineStr">
        <is>
          <t>Afirmativo</t>
        </is>
      </c>
      <c r="X13" t="inlineStr">
        <is>
          <t>AFIRMATIVO</t>
        </is>
      </c>
      <c r="AF13" s="17" t="inlineStr">
        <is>
          <t>AFIRMATIVO</t>
        </is>
      </c>
    </row>
    <row r="14" ht="15.75" customHeight="1" thickBot="1">
      <c r="A14">
        <f>_xlfn.CONCAT(C14," ",B14)</f>
        <v/>
      </c>
      <c r="B14" t="inlineStr">
        <is>
          <t>DANIEL PABLO</t>
        </is>
      </c>
      <c r="C14" t="inlineStr">
        <is>
          <t>BENSUSÁN</t>
        </is>
      </c>
      <c r="D14" t="inlineStr">
        <is>
          <t>JUSTICIALISTA</t>
        </is>
      </c>
      <c r="E14" t="inlineStr">
        <is>
          <t>LA PAMPA</t>
        </is>
      </c>
      <c r="F14" t="inlineStr">
        <is>
          <t>ALIANZA POR SANTA CRUZ</t>
        </is>
      </c>
      <c r="G14" t="inlineStr">
        <is>
          <t>2023-12-10</t>
        </is>
      </c>
      <c r="H14" t="inlineStr">
        <is>
          <t>2029-12-09</t>
        </is>
      </c>
      <c r="I14" t="inlineStr">
        <is>
          <t>2023-12-10</t>
        </is>
      </c>
      <c r="J14" t="inlineStr">
        <is>
          <t>Sin Datos</t>
        </is>
      </c>
      <c r="K14" t="inlineStr">
        <is>
          <t>jose.carambia@senado.gob.ar</t>
        </is>
      </c>
      <c r="L14" t="n">
        <v>3408</v>
      </c>
      <c r="Q14" s="12" t="inlineStr">
        <is>
          <t>Bicameral de Control de los Fondos de la Seguridad Social (Ley 26.425) | Bicameral Permanente de Fiscalización de los Órganos y Actividades de Seguridad Interior (Ley 24.059 y Sus Modificatorias Leyes 24.194 y 25.520) | De Coparticipación Federal de Impuestos | De Industria y Comercio | De Infraestructura, Vivienda y Transporte | De Legislación General | De Población y Desarrollo Humano</t>
        </is>
      </c>
      <c r="R14" t="inlineStr">
        <is>
          <t>Negativo</t>
        </is>
      </c>
      <c r="S14" t="inlineStr">
        <is>
          <t>Negativo</t>
        </is>
      </c>
      <c r="U14" t="inlineStr">
        <is>
          <t>Negativo</t>
        </is>
      </c>
      <c r="V14" t="inlineStr">
        <is>
          <t>NEGATIVO</t>
        </is>
      </c>
      <c r="W14" t="inlineStr">
        <is>
          <t>Negativo</t>
        </is>
      </c>
      <c r="X14" t="inlineStr">
        <is>
          <t>AFIRMATIVO</t>
        </is>
      </c>
      <c r="AF14" s="17" t="inlineStr">
        <is>
          <t>NEGATIVO</t>
        </is>
      </c>
    </row>
    <row r="15" ht="15.75" customHeight="1" thickBot="1">
      <c r="A15">
        <f>_xlfn.CONCAT(C15," ",B15)</f>
        <v/>
      </c>
      <c r="B15" t="inlineStr">
        <is>
          <t>PATRICIA</t>
        </is>
      </c>
      <c r="C15" t="inlineStr">
        <is>
          <t>BULLRICH</t>
        </is>
      </c>
      <c r="D15" t="inlineStr">
        <is>
          <t>LA LIBERTAD AVANZA</t>
        </is>
      </c>
      <c r="E15" t="inlineStr">
        <is>
          <t>CIUDAD AUTÓNOMA DE BUENOS AIRES</t>
        </is>
      </c>
      <c r="F15" t="inlineStr">
        <is>
          <t>ALIANZA FRENTE DE TODOS</t>
        </is>
      </c>
      <c r="G15" t="inlineStr">
        <is>
          <t>2023-12-09</t>
        </is>
      </c>
      <c r="H15" t="inlineStr">
        <is>
          <t>2027-12-09</t>
        </is>
      </c>
      <c r="I15" t="inlineStr">
        <is>
          <t>2023-12-09</t>
        </is>
      </c>
      <c r="J15" t="inlineStr">
        <is>
          <t>Sin Datos</t>
        </is>
      </c>
      <c r="K15" t="inlineStr">
        <is>
          <t>juan.manzur@senado.gob.ar</t>
        </is>
      </c>
      <c r="L15" t="inlineStr">
        <is>
          <t>1354/1380</t>
        </is>
      </c>
      <c r="M15" t="inlineStr">
        <is>
          <t>https://www.facebook.com/JuanManzurOficial/</t>
        </is>
      </c>
      <c r="N15" t="inlineStr">
        <is>
          <t>https://twitter.com/JuanManzurOK</t>
        </is>
      </c>
      <c r="O15" t="inlineStr">
        <is>
          <t>https://www.instagram.com/juanluismanzur/</t>
        </is>
      </c>
      <c r="P15" t="inlineStr">
        <is>
          <t>https://www.youtube.com/@JuanManzurOK</t>
        </is>
      </c>
      <c r="Q15" s="12" t="inlineStr">
        <is>
          <t>Banca de la Mujer | De Acuerdos | De Asuntos Constitucionales | De Justicia y Asuntos Penales | De Legislación General | De Presupuesto y Hacienda | De Sistemas, Medios de Comunicación y Libertad de Expresión</t>
        </is>
      </c>
      <c r="R15" t="inlineStr">
        <is>
          <t>Afirmativo</t>
        </is>
      </c>
      <c r="S15" t="inlineStr">
        <is>
          <t>Afirmativo</t>
        </is>
      </c>
      <c r="U15" t="inlineStr">
        <is>
          <t>Afirmativo</t>
        </is>
      </c>
      <c r="V15" t="inlineStr">
        <is>
          <t>AFIRMATIVO</t>
        </is>
      </c>
      <c r="W15" t="inlineStr">
        <is>
          <t>Afirmativo</t>
        </is>
      </c>
      <c r="X15" t="inlineStr">
        <is>
          <t>AFIRMATIVO</t>
        </is>
      </c>
      <c r="AF15" s="17" t="inlineStr">
        <is>
          <t>AFIRMATIVO</t>
        </is>
      </c>
    </row>
    <row r="16" ht="15.75" customHeight="1" thickBot="1">
      <c r="A16">
        <f>_xlfn.CONCAT(C16," ",B16)</f>
        <v/>
      </c>
      <c r="B16" t="inlineStr">
        <is>
          <t>JORGE MILTON</t>
        </is>
      </c>
      <c r="C16" t="inlineStr">
        <is>
          <t>CAPITANICH</t>
        </is>
      </c>
      <c r="D16" t="inlineStr">
        <is>
          <t>JUSTICIALISTA</t>
        </is>
      </c>
      <c r="E16" t="inlineStr">
        <is>
          <t>CHACO</t>
        </is>
      </c>
      <c r="F16" t="inlineStr">
        <is>
          <t>ALIANZA LA LIBERTAD AVANZA</t>
        </is>
      </c>
      <c r="G16" t="inlineStr">
        <is>
          <t>2025-12-10</t>
        </is>
      </c>
      <c r="H16" t="inlineStr">
        <is>
          <t>2031-12-09</t>
        </is>
      </c>
      <c r="I16" t="inlineStr">
        <is>
          <t>2025-12-10</t>
        </is>
      </c>
      <c r="J16" t="inlineStr">
        <is>
          <t>Sin Datos</t>
        </is>
      </c>
      <c r="K16" t="inlineStr">
        <is>
          <t>mario.cervi@senado.gob.ar</t>
        </is>
      </c>
      <c r="Q16" s="12" t="inlineStr">
        <is>
          <t>De Defensa Nacional | De Relaciones Exteriores y Culto</t>
        </is>
      </c>
      <c r="R16" t="inlineStr">
        <is>
          <t>Negativo</t>
        </is>
      </c>
      <c r="S16" t="inlineStr">
        <is>
          <t>Negativo</t>
        </is>
      </c>
      <c r="U16" t="inlineStr">
        <is>
          <t>Negativo</t>
        </is>
      </c>
      <c r="V16" t="inlineStr">
        <is>
          <t>NEGATIVO</t>
        </is>
      </c>
      <c r="W16" t="inlineStr">
        <is>
          <t>Negativo</t>
        </is>
      </c>
      <c r="X16" t="inlineStr">
        <is>
          <t>AFIRMATIVO</t>
        </is>
      </c>
      <c r="AF16" s="17" t="inlineStr">
        <is>
          <t>NEGATIVO</t>
        </is>
      </c>
    </row>
    <row r="17" ht="15.75" customHeight="1" thickBot="1">
      <c r="A17">
        <f>_xlfn.CONCAT(C17," ",B17)</f>
        <v/>
      </c>
      <c r="B17" t="inlineStr">
        <is>
          <t>JOSÉ MARÍA</t>
        </is>
      </c>
      <c r="C17" t="inlineStr">
        <is>
          <t>CARAMBIA</t>
        </is>
      </c>
      <c r="D17" t="inlineStr">
        <is>
          <t>MOVERE SANTA CRUZ</t>
        </is>
      </c>
      <c r="E17" t="inlineStr">
        <is>
          <t>SANTA CRUZ</t>
        </is>
      </c>
      <c r="F17" t="inlineStr">
        <is>
          <t>ALIANZA LA LIBERTAD AVANZA</t>
        </is>
      </c>
      <c r="G17" t="inlineStr">
        <is>
          <t>2023-12-10</t>
        </is>
      </c>
      <c r="H17" t="inlineStr">
        <is>
          <t>2029-12-09</t>
        </is>
      </c>
      <c r="I17" t="inlineStr">
        <is>
          <t>2023-12-10</t>
        </is>
      </c>
      <c r="J17" t="inlineStr">
        <is>
          <t>Sin Datos</t>
        </is>
      </c>
      <c r="K17" t="inlineStr">
        <is>
          <t>francisco.paoltroni@senado.gob.ar</t>
        </is>
      </c>
      <c r="L17" t="n">
        <v>3872</v>
      </c>
      <c r="Q17" s="12" t="inlineStr">
        <is>
          <t>De Infraestructura, Vivienda y Transporte | De Legislación General | De Minería, Energía y Combustibles | De Trabajo y Previsión Social</t>
        </is>
      </c>
      <c r="R17" t="inlineStr">
        <is>
          <t>Afirmativo</t>
        </is>
      </c>
      <c r="S17" t="inlineStr">
        <is>
          <t>Afirmativo</t>
        </is>
      </c>
      <c r="U17" t="inlineStr">
        <is>
          <t>Abstención</t>
        </is>
      </c>
      <c r="V17" t="inlineStr">
        <is>
          <t>NEGATIVO</t>
        </is>
      </c>
      <c r="W17" t="inlineStr">
        <is>
          <t>Afirmativo</t>
        </is>
      </c>
      <c r="X17" t="inlineStr">
        <is>
          <t>AFIRMATIVO</t>
        </is>
      </c>
      <c r="AF17" s="17" t="inlineStr">
        <is>
          <t>NEGATIVO</t>
        </is>
      </c>
    </row>
    <row r="18" ht="15.75" customHeight="1" thickBot="1">
      <c r="A18">
        <f>_xlfn.CONCAT(C18," ",B18)</f>
        <v/>
      </c>
      <c r="B18" t="inlineStr">
        <is>
          <t>MARIO PABLO</t>
        </is>
      </c>
      <c r="C18" t="inlineStr">
        <is>
          <t>CERVI</t>
        </is>
      </c>
      <c r="D18" t="inlineStr">
        <is>
          <t>LA LIBERTAD AVANZA</t>
        </is>
      </c>
      <c r="E18" t="inlineStr">
        <is>
          <t>NEUQUÉN</t>
        </is>
      </c>
      <c r="F18" t="inlineStr">
        <is>
          <t>FUERZA PATRIA</t>
        </is>
      </c>
      <c r="G18" t="inlineStr">
        <is>
          <t>2025-12-10</t>
        </is>
      </c>
      <c r="H18" t="inlineStr">
        <is>
          <t>2031-12-09</t>
        </is>
      </c>
      <c r="I18" t="inlineStr">
        <is>
          <t>2025-12-10</t>
        </is>
      </c>
      <c r="J18" t="inlineStr">
        <is>
          <t>Sin Datos</t>
        </is>
      </c>
      <c r="K18" t="inlineStr">
        <is>
          <t>ana.marks@senado.gob.ar</t>
        </is>
      </c>
      <c r="Q18" s="12" t="inlineStr">
        <is>
          <t>Bicameral de Control de los Fondos de la Seguridad Social (Ley 26.425) | Bicameral de Reforma del Estado y del Seguimiento de las Privatizaciones (Ley 23.696) | De Agricultura, Ganadería y Pesca | De Derechos y Garantías | De Industria y Comercio | De Minería, Energía y Combustibles | De Salud | De Sistemas, Medios de Comunicación y Libertad de Expresión</t>
        </is>
      </c>
      <c r="R18" t="inlineStr">
        <is>
          <t>Afirmativo</t>
        </is>
      </c>
      <c r="S18" t="inlineStr">
        <is>
          <t>Afirmativo</t>
        </is>
      </c>
      <c r="U18" t="inlineStr">
        <is>
          <t>Afirmativo</t>
        </is>
      </c>
      <c r="V18" t="inlineStr">
        <is>
          <t>AFIRMATIVO</t>
        </is>
      </c>
      <c r="W18" t="inlineStr">
        <is>
          <t>Afirmativo</t>
        </is>
      </c>
      <c r="X18" t="inlineStr">
        <is>
          <t>AFIRMATIVO</t>
        </is>
      </c>
      <c r="AF18" s="17" t="inlineStr">
        <is>
          <t>AFIRMATIVO</t>
        </is>
      </c>
    </row>
    <row r="19" ht="15.75" customHeight="1" thickBot="1">
      <c r="A19">
        <f>_xlfn.CONCAT(C19," ",B19)</f>
        <v/>
      </c>
      <c r="B19" t="inlineStr">
        <is>
          <t>LUCÍA BENIGNA</t>
        </is>
      </c>
      <c r="C19" t="inlineStr">
        <is>
          <t>CORPACCI</t>
        </is>
      </c>
      <c r="D19" t="inlineStr">
        <is>
          <t>JUSTICIALISTA</t>
        </is>
      </c>
      <c r="E19" t="inlineStr">
        <is>
          <t>CATAMARCA</t>
        </is>
      </c>
      <c r="F19" t="inlineStr">
        <is>
          <t>FRENTE DE TODOS</t>
        </is>
      </c>
      <c r="G19" t="inlineStr">
        <is>
          <t>2021-12-10</t>
        </is>
      </c>
      <c r="H19" t="inlineStr">
        <is>
          <t>2027-12-09</t>
        </is>
      </c>
      <c r="I19" t="inlineStr">
        <is>
          <t>2021-12-10</t>
        </is>
      </c>
      <c r="J19" t="inlineStr">
        <is>
          <t>Sin Datos</t>
        </is>
      </c>
      <c r="K19" t="inlineStr">
        <is>
          <t>lucia.corpacci@senado.gob.ar</t>
        </is>
      </c>
      <c r="L19" t="inlineStr">
        <is>
          <t>1435 / 1403</t>
        </is>
      </c>
      <c r="Q19" s="12" t="inlineStr">
        <is>
          <t>Banca de la Mujer | De Coparticipación Federal de Impuestos | De Defensa Nacional | De Derechos y Garantías | De Economías Regionales, Economía Social, Micro, Pequeña y Mediana Empresa | De Industria y Comercio | De Salud</t>
        </is>
      </c>
      <c r="R19" t="inlineStr">
        <is>
          <t>Negativo</t>
        </is>
      </c>
      <c r="S19" t="inlineStr">
        <is>
          <t>Negativo</t>
        </is>
      </c>
      <c r="U19" t="inlineStr">
        <is>
          <t>Negativo</t>
        </is>
      </c>
      <c r="V19" t="inlineStr">
        <is>
          <t>AFIRMATIVO</t>
        </is>
      </c>
      <c r="W19" t="inlineStr">
        <is>
          <t>Negativo</t>
        </is>
      </c>
      <c r="X19" t="inlineStr">
        <is>
          <t>AFIRMATIVO</t>
        </is>
      </c>
      <c r="AF19" s="17" t="inlineStr">
        <is>
          <t>NEGATIVO</t>
        </is>
      </c>
    </row>
    <row r="20" ht="15.75" customHeight="1" thickBot="1">
      <c r="A20">
        <f>_xlfn.CONCAT(C20," ",B20)</f>
        <v/>
      </c>
      <c r="B20" t="inlineStr">
        <is>
          <t>JULIETA</t>
        </is>
      </c>
      <c r="C20" t="inlineStr">
        <is>
          <t>CORROZA</t>
        </is>
      </c>
      <c r="D20" t="inlineStr">
        <is>
          <t>LA NEUQUINIDAD</t>
        </is>
      </c>
      <c r="E20" t="inlineStr">
        <is>
          <t>NEUQUÉN</t>
        </is>
      </c>
      <c r="F20" t="inlineStr">
        <is>
          <t>ALIANZA LA LIBERTAD AVANZA</t>
        </is>
      </c>
      <c r="G20" t="inlineStr">
        <is>
          <t>2023-12-10</t>
        </is>
      </c>
      <c r="H20" t="inlineStr">
        <is>
          <t>2029-12-09</t>
        </is>
      </c>
      <c r="I20" t="inlineStr">
        <is>
          <t>2023-12-10</t>
        </is>
      </c>
      <c r="J20" t="inlineStr">
        <is>
          <t>Sin Datos</t>
        </is>
      </c>
      <c r="K20" t="inlineStr">
        <is>
          <t>juan.pagotto@senado.gob.ar</t>
        </is>
      </c>
      <c r="L20" t="n">
        <v>1008</v>
      </c>
      <c r="Q20" s="12" t="inlineStr">
        <is>
          <t>Bicameral Permanente de Seguimiento y Control del Ministerio Público de la Nación (Ley 24.946 y Sus Modificatorias Ley 27.148 y 27.149) | Banca de la Mujer | De Economía Nacional e Inversión | De Infraestructura, Vivienda y Transporte | De Minería, Energía y Combustibles | De Seguridad Interior y Narcotráfico | De Turismo</t>
        </is>
      </c>
      <c r="R20" t="inlineStr">
        <is>
          <t>Abstención</t>
        </is>
      </c>
      <c r="S20" t="inlineStr">
        <is>
          <t>Afirmativo</t>
        </is>
      </c>
      <c r="U20" t="inlineStr">
        <is>
          <t>Afirmativo</t>
        </is>
      </c>
      <c r="V20" t="inlineStr">
        <is>
          <t>ABSTENCIÓN</t>
        </is>
      </c>
      <c r="W20" t="inlineStr">
        <is>
          <t>Afirmativo</t>
        </is>
      </c>
      <c r="X20" t="inlineStr">
        <is>
          <t>AFIRMATIVO</t>
        </is>
      </c>
      <c r="AF20" s="17" t="inlineStr">
        <is>
          <t>AUSENTE</t>
        </is>
      </c>
    </row>
    <row r="21" ht="15.75" customHeight="1" thickBot="1">
      <c r="A21">
        <f>_xlfn.CONCAT(C21," ",B21)</f>
        <v/>
      </c>
      <c r="B21" t="inlineStr">
        <is>
          <t>AGUSTÍN PEDRO</t>
        </is>
      </c>
      <c r="C21" t="inlineStr">
        <is>
          <t>COTO</t>
        </is>
      </c>
      <c r="D21" t="inlineStr">
        <is>
          <t>LA LIBERTAD AVANZA</t>
        </is>
      </c>
      <c r="E21" t="inlineStr">
        <is>
          <t>TIERRA DEL FUEGO, ANTÁRTIDA E ISLAS DEL ATLÁNTICO SUR</t>
        </is>
      </c>
      <c r="F21" t="inlineStr">
        <is>
          <t>ALIANZA LA LIBERTAD AVANZA</t>
        </is>
      </c>
      <c r="G21" t="inlineStr">
        <is>
          <t>2025-12-10</t>
        </is>
      </c>
      <c r="H21" t="inlineStr">
        <is>
          <t>2031-12-09</t>
        </is>
      </c>
      <c r="I21" t="inlineStr">
        <is>
          <t>2025-12-10</t>
        </is>
      </c>
      <c r="J21" t="inlineStr">
        <is>
          <t>Sin Datos</t>
        </is>
      </c>
      <c r="K21" t="inlineStr">
        <is>
          <t>nadia.marquez@senado.gob.ar</t>
        </is>
      </c>
      <c r="Q21" s="12" t="inlineStr">
        <is>
          <t>De Acuerdos | De Asuntos Constitucionales | De Industria y Comercio | De Legislación General | De Minería, Energía y Combustibles | De Seguridad Interior y Narcotráfico | De Sistemas, Medios de Comunicación y Libertad de Expresión</t>
        </is>
      </c>
      <c r="R21" t="inlineStr">
        <is>
          <t>Afirmativo</t>
        </is>
      </c>
      <c r="S21" t="inlineStr">
        <is>
          <t>Afirmativo</t>
        </is>
      </c>
      <c r="U21" t="inlineStr">
        <is>
          <t>Afirmativo</t>
        </is>
      </c>
      <c r="V21" t="inlineStr">
        <is>
          <t>AFIRMATIVO</t>
        </is>
      </c>
      <c r="W21" t="inlineStr">
        <is>
          <t>Afirmativo</t>
        </is>
      </c>
      <c r="X21" t="inlineStr">
        <is>
          <t>AFIRMATIVO</t>
        </is>
      </c>
      <c r="AF21" s="17" t="inlineStr">
        <is>
          <t>AFIRMATIVO</t>
        </is>
      </c>
    </row>
    <row r="22" ht="15.75" customHeight="1" thickBot="1">
      <c r="A22">
        <f>_xlfn.CONCAT(C22," ",B22)</f>
        <v/>
      </c>
      <c r="B22" t="inlineStr">
        <is>
          <t>ANDREA MARCELA</t>
        </is>
      </c>
      <c r="C22" t="inlineStr">
        <is>
          <t>CRISTINA</t>
        </is>
      </c>
      <c r="D22" t="inlineStr">
        <is>
          <t>FRENTE PRO</t>
        </is>
      </c>
      <c r="E22" t="inlineStr">
        <is>
          <t>CHUBUT</t>
        </is>
      </c>
      <c r="F22" t="inlineStr">
        <is>
          <t>JUNTOS POR EL CAMBIO</t>
        </is>
      </c>
      <c r="G22" t="inlineStr">
        <is>
          <t>2021-12-10</t>
        </is>
      </c>
      <c r="H22" t="inlineStr">
        <is>
          <t>2027-12-09</t>
        </is>
      </c>
      <c r="I22" t="inlineStr">
        <is>
          <t>2021-12-10</t>
        </is>
      </c>
      <c r="J22" t="inlineStr">
        <is>
          <t>Sin Datos</t>
        </is>
      </c>
      <c r="K22" t="inlineStr">
        <is>
          <t>beatriz.avila@senado.gob.ar</t>
        </is>
      </c>
      <c r="L22" t="inlineStr">
        <is>
          <t>3508 / 3309 / 1086</t>
        </is>
      </c>
      <c r="M22" t="inlineStr">
        <is>
          <t>http://www.facebook.com/beatrizavilaok</t>
        </is>
      </c>
      <c r="N22" t="inlineStr">
        <is>
          <t>http://www.twitter.com/beatriz_avilaok</t>
        </is>
      </c>
      <c r="O22" t="inlineStr">
        <is>
          <t>http://www.instagram.com/beatrizavilaok</t>
        </is>
      </c>
      <c r="P22" t="inlineStr">
        <is>
          <t>http://www.beatrizavila.com.ar/</t>
        </is>
      </c>
      <c r="Q22" s="12" t="inlineStr">
        <is>
          <t>Bicameral Permanente del Defensor de los Derechos de Niñas, Niños y Adolescentes (Ley 26.061) | Banca de la Mujer | De Coparticipación Federal de Impuestos | De Economía Nacional e Inversión | De Economías Regionales, Economía Social, Micro, Pequeña y Mediana Empresa | De Minería, Energía y Combustibles | De Presupuesto y Hacienda</t>
        </is>
      </c>
      <c r="R22" t="inlineStr">
        <is>
          <t>Afirmativo</t>
        </is>
      </c>
      <c r="S22" t="inlineStr">
        <is>
          <t>Afirmativo</t>
        </is>
      </c>
      <c r="U22" t="inlineStr">
        <is>
          <t>Afirmativo</t>
        </is>
      </c>
      <c r="V22" t="inlineStr">
        <is>
          <t>NEGATIVO</t>
        </is>
      </c>
      <c r="W22" t="inlineStr">
        <is>
          <t>Afirmativo</t>
        </is>
      </c>
      <c r="X22" t="inlineStr">
        <is>
          <t>AFIRMATIVO</t>
        </is>
      </c>
      <c r="AF22" s="17" t="inlineStr">
        <is>
          <t>AUSENTE</t>
        </is>
      </c>
    </row>
    <row r="23" ht="15.75" customHeight="1" thickBot="1">
      <c r="A23">
        <f>_xlfn.CONCAT(C23," ",B23)</f>
        <v/>
      </c>
      <c r="B23" t="inlineStr">
        <is>
          <t>EDUARDO ENRIQUE</t>
        </is>
      </c>
      <c r="C23" t="inlineStr">
        <is>
          <t>DE PEDRO</t>
        </is>
      </c>
      <c r="D23" t="inlineStr">
        <is>
          <t>JUSTICIALISTA</t>
        </is>
      </c>
      <c r="E23" t="inlineStr">
        <is>
          <t>BUENOS AIRES</t>
        </is>
      </c>
      <c r="F23" t="inlineStr">
        <is>
          <t>LA NEUQUINIDAD</t>
        </is>
      </c>
      <c r="G23" t="inlineStr">
        <is>
          <t>2025-12-10</t>
        </is>
      </c>
      <c r="H23" t="inlineStr">
        <is>
          <t>2031-12-09</t>
        </is>
      </c>
      <c r="I23" t="inlineStr">
        <is>
          <t>2025-12-10</t>
        </is>
      </c>
      <c r="J23" t="inlineStr">
        <is>
          <t>Sin Datos</t>
        </is>
      </c>
      <c r="K23" t="inlineStr">
        <is>
          <t>julieta.corroza@senado.gob.ar</t>
        </is>
      </c>
      <c r="Q23" s="12" t="inlineStr">
        <is>
          <t>De Asuntos Administrativos y Municipales | De Ciencia y Tecnología | De Coparticipación Federal de Impuestos | De Deporte | De Educación y Cultura | De Industria y Comercio</t>
        </is>
      </c>
      <c r="R23" t="inlineStr">
        <is>
          <t>Negativo</t>
        </is>
      </c>
      <c r="S23" t="inlineStr">
        <is>
          <t>Negativo</t>
        </is>
      </c>
      <c r="U23" t="inlineStr">
        <is>
          <t>Negativo</t>
        </is>
      </c>
      <c r="V23" t="inlineStr">
        <is>
          <t>NEGATIVO</t>
        </is>
      </c>
      <c r="W23" t="inlineStr">
        <is>
          <t>Negativo</t>
        </is>
      </c>
      <c r="X23" t="inlineStr">
        <is>
          <t>NEGATIVO</t>
        </is>
      </c>
      <c r="AF23" s="17" t="inlineStr">
        <is>
          <t>NEGATIVO</t>
        </is>
      </c>
    </row>
    <row r="24" ht="15.75" customHeight="1" thickBot="1">
      <c r="A24">
        <f>_xlfn.CONCAT(C24," ",B24)</f>
        <v/>
      </c>
      <c r="B24" t="inlineStr">
        <is>
          <t>JULIANA</t>
        </is>
      </c>
      <c r="C24" t="inlineStr">
        <is>
          <t>DI TULLIO</t>
        </is>
      </c>
      <c r="D24" t="inlineStr">
        <is>
          <t>JUSTICIALISTA</t>
        </is>
      </c>
      <c r="E24" t="inlineStr">
        <is>
          <t>BUENOS AIRES</t>
        </is>
      </c>
      <c r="F24" t="inlineStr">
        <is>
          <t>ALIANZA LA LIBERTAD AVANZA</t>
        </is>
      </c>
      <c r="G24" t="inlineStr">
        <is>
          <t>2025-12-10</t>
        </is>
      </c>
      <c r="H24" t="inlineStr">
        <is>
          <t>2031-12-09</t>
        </is>
      </c>
      <c r="I24" t="inlineStr">
        <is>
          <t>2025-12-10</t>
        </is>
      </c>
      <c r="J24" t="inlineStr">
        <is>
          <t>Sin Datos</t>
        </is>
      </c>
      <c r="K24" t="inlineStr">
        <is>
          <t>agustin.coto@senado.gob.ar</t>
        </is>
      </c>
      <c r="Q24" s="12" t="inlineStr">
        <is>
          <t>Bicameral Permanente de Promoción y Seguimiento de la Comunicación Audiovisual, las Tecnologías de las Telecomunicaciones y la Digitalización (Ley 26.522,Y Sus Modificatorias 27.078 y Dnu 267/15) | Banca de la Mujer | De Economía Nacional e Inversión | De Relaciones Exteriores y Culto | De Turismo</t>
        </is>
      </c>
      <c r="R24" t="inlineStr">
        <is>
          <t>Negativo</t>
        </is>
      </c>
      <c r="S24" t="inlineStr">
        <is>
          <t>Negativo</t>
        </is>
      </c>
      <c r="U24" t="inlineStr">
        <is>
          <t>Negativo</t>
        </is>
      </c>
      <c r="V24" t="inlineStr">
        <is>
          <t>NEGATIVO</t>
        </is>
      </c>
      <c r="W24" t="inlineStr">
        <is>
          <t>Negativo</t>
        </is>
      </c>
      <c r="X24" t="inlineStr">
        <is>
          <t>NEGATIVO</t>
        </is>
      </c>
      <c r="AF24" s="17" t="inlineStr">
        <is>
          <t>AUSENTE</t>
        </is>
      </c>
    </row>
    <row r="25" ht="15.75" customHeight="1" thickBot="1">
      <c r="A25">
        <f>_xlfn.CONCAT(C25," ",B25)</f>
        <v/>
      </c>
      <c r="B25" t="inlineStr">
        <is>
          <t>CARLOS MAURICIO</t>
        </is>
      </c>
      <c r="C25" t="inlineStr">
        <is>
          <t>ESPÍNOLA</t>
        </is>
      </c>
      <c r="D25" t="inlineStr">
        <is>
          <t>PROVINCIAS UNIDAS</t>
        </is>
      </c>
      <c r="E25" t="inlineStr">
        <is>
          <t>CORRIENTES</t>
        </is>
      </c>
      <c r="F25" t="inlineStr">
        <is>
          <t>FRENTE RENOVADOR DE LA CONCORDIA-INNOVACIÓN FEDERAL</t>
        </is>
      </c>
      <c r="G25" t="inlineStr">
        <is>
          <t>2023-12-10</t>
        </is>
      </c>
      <c r="H25" t="inlineStr">
        <is>
          <t>2029-12-09</t>
        </is>
      </c>
      <c r="I25" t="inlineStr">
        <is>
          <t>2023-12-10</t>
        </is>
      </c>
      <c r="J25" t="inlineStr">
        <is>
          <t>Sin Datos</t>
        </is>
      </c>
      <c r="K25" t="inlineStr">
        <is>
          <t>sonia.rojas@senado.gob.ar</t>
        </is>
      </c>
      <c r="L25" t="inlineStr">
        <is>
          <t>3456 / 3457</t>
        </is>
      </c>
      <c r="M25" t="inlineStr">
        <is>
          <t>https://www.facebook.com/100087662746565</t>
        </is>
      </c>
      <c r="N25" t="inlineStr">
        <is>
          <t>https://x.com/decutrojas</t>
        </is>
      </c>
      <c r="O25" t="inlineStr">
        <is>
          <t>https://www.instagram.com/soniarojasdecut</t>
        </is>
      </c>
      <c r="Q25" s="12" t="inlineStr">
        <is>
          <t>Bicameral de Reforma del Estado y del Seguimiento de las Privatizaciones (Ley 23.696) | Bicameral Permanente de Promoción y Seguimiento de la Comunicación Audiovisual, las Tecnologías de las Telecomunicaciones y la Digitalización (Ley 26.522,Y Sus Modificatorias 27.078 y Dnu 267/15) | De Acuerdos | De Agricultura, Ganadería y Pesca | De Legislación General | De Presupuesto y Hacienda | De Seguridad Interior y Narcotráfico</t>
        </is>
      </c>
      <c r="R25" t="inlineStr">
        <is>
          <t>Afirmativo</t>
        </is>
      </c>
      <c r="S25" t="inlineStr">
        <is>
          <t>Afirmativo</t>
        </is>
      </c>
      <c r="U25" t="inlineStr">
        <is>
          <t>Afirmativo</t>
        </is>
      </c>
      <c r="V25" t="inlineStr">
        <is>
          <t>AFIRMATIVO</t>
        </is>
      </c>
      <c r="W25" t="inlineStr">
        <is>
          <t>Afirmativo</t>
        </is>
      </c>
      <c r="X25" t="inlineStr">
        <is>
          <t>AFIRMATIVO</t>
        </is>
      </c>
      <c r="AF25" s="17" t="inlineStr">
        <is>
          <t>AFIRMATIVO</t>
        </is>
      </c>
    </row>
    <row r="26" ht="15.75" customHeight="1" thickBot="1">
      <c r="A26">
        <f>_xlfn.CONCAT(C26," ",B26)</f>
        <v/>
      </c>
      <c r="B26" t="inlineStr">
        <is>
          <t>FLAVIO SERGIO</t>
        </is>
      </c>
      <c r="C26" t="inlineStr">
        <is>
          <t>FAMA</t>
        </is>
      </c>
      <c r="D26" t="inlineStr">
        <is>
          <t>UCR - UNIÓN CÍVICA RADICAL</t>
        </is>
      </c>
      <c r="E26" t="inlineStr">
        <is>
          <t>CATAMARCA</t>
        </is>
      </c>
      <c r="F26" t="inlineStr">
        <is>
          <t>ALIANZA LA LIBERTAD AVANZA</t>
        </is>
      </c>
      <c r="G26" t="inlineStr">
        <is>
          <t>2025-12-10</t>
        </is>
      </c>
      <c r="H26" t="inlineStr">
        <is>
          <t>2031-12-09</t>
        </is>
      </c>
      <c r="I26" t="inlineStr">
        <is>
          <t>2025-12-10</t>
        </is>
      </c>
      <c r="J26" t="inlineStr">
        <is>
          <t>Sin Datos</t>
        </is>
      </c>
      <c r="K26" t="inlineStr">
        <is>
          <t>silvana.schneider@senado.gob.ar</t>
        </is>
      </c>
      <c r="Q26" s="12" t="inlineStr">
        <is>
          <t>Bicameral Permanente Parlamentaria Mixta Revisora de Cuentas | De Asuntos Constitucionales | De Ciencia y Tecnología | De Derechos y Garantías | De Educación y Cultura | De Justicia y Asuntos Penales | De Minería, Energía y Combustibles | De Sistemas, Medios de Comunicación y Libertad de Expresión | De Turismo</t>
        </is>
      </c>
      <c r="R26" t="inlineStr">
        <is>
          <t>Negativo</t>
        </is>
      </c>
      <c r="S26" t="inlineStr">
        <is>
          <t>Afirmativo</t>
        </is>
      </c>
      <c r="U26" t="inlineStr">
        <is>
          <t>Afirmativo</t>
        </is>
      </c>
      <c r="V26" t="inlineStr">
        <is>
          <t>AFIRMATIVO</t>
        </is>
      </c>
      <c r="W26" t="inlineStr">
        <is>
          <t>Afirmativo</t>
        </is>
      </c>
      <c r="X26" t="inlineStr">
        <is>
          <t>AFIRMATIVO</t>
        </is>
      </c>
      <c r="AF26" s="17" t="inlineStr">
        <is>
          <t>AFIRMATIVO</t>
        </is>
      </c>
    </row>
    <row r="27" ht="15.75" customHeight="1" thickBot="1">
      <c r="A27">
        <f>_xlfn.CONCAT(C27," ",B27)</f>
        <v/>
      </c>
      <c r="B27" t="inlineStr">
        <is>
          <t>ANABEL</t>
        </is>
      </c>
      <c r="C27" t="inlineStr">
        <is>
          <t>FERNÁNDEZ SAGASTI</t>
        </is>
      </c>
      <c r="D27" t="inlineStr">
        <is>
          <t>JUSTICIALISTA</t>
        </is>
      </c>
      <c r="E27" t="inlineStr">
        <is>
          <t>MENDOZA</t>
        </is>
      </c>
      <c r="F27" t="inlineStr">
        <is>
          <t>JUNTOS POR EL CAMBIO CHUBUT</t>
        </is>
      </c>
      <c r="G27" t="inlineStr">
        <is>
          <t>2023-12-10</t>
        </is>
      </c>
      <c r="H27" t="inlineStr">
        <is>
          <t>2027-12-09</t>
        </is>
      </c>
      <c r="I27" t="inlineStr">
        <is>
          <t>2023-12-10</t>
        </is>
      </c>
      <c r="J27" t="inlineStr">
        <is>
          <t>Sin Datos</t>
        </is>
      </c>
      <c r="K27" t="inlineStr">
        <is>
          <t>andrea.cristina@senado.gob.ar</t>
        </is>
      </c>
      <c r="L27" t="n">
        <v>3453</v>
      </c>
      <c r="M27" t="inlineStr">
        <is>
          <t>https://www.facebook.com/AndreaCristina.Chubut?mibextid=LQQJ4d</t>
        </is>
      </c>
      <c r="N27" t="inlineStr">
        <is>
          <t>https://x.com/andycristina07?s=11</t>
        </is>
      </c>
      <c r="O27" t="inlineStr">
        <is>
          <t>https://www.instagram.com/andreacristina.chubut?igsh=Y2hzbzE3MWEyaGxl</t>
        </is>
      </c>
      <c r="Q27" s="12" t="inlineStr">
        <is>
          <t>Banca de la Mujer | De Deporte | De Derechos y Garantías | De Educación y Cultura | De Relaciones Exteriores y Culto | De Salud | De Seguridad Interior y Narcotráfico</t>
        </is>
      </c>
      <c r="R27" t="inlineStr">
        <is>
          <t>Negativo</t>
        </is>
      </c>
      <c r="S27" t="inlineStr">
        <is>
          <t>Negativo</t>
        </is>
      </c>
      <c r="U27" t="inlineStr">
        <is>
          <t>Negativo</t>
        </is>
      </c>
      <c r="V27" t="inlineStr">
        <is>
          <t>NEGATIVO</t>
        </is>
      </c>
      <c r="W27" t="inlineStr">
        <is>
          <t>Negativo</t>
        </is>
      </c>
      <c r="X27" t="inlineStr">
        <is>
          <t>AFIRMATIVO</t>
        </is>
      </c>
      <c r="AF27" s="17" t="inlineStr">
        <is>
          <t>NEGATIVO</t>
        </is>
      </c>
    </row>
    <row r="28" ht="15.75" customHeight="1" thickBot="1">
      <c r="A28">
        <f>_xlfn.CONCAT(C28," ",B28)</f>
        <v/>
      </c>
      <c r="B28" s="4" t="inlineStr">
        <is>
          <t>FULLONE</t>
        </is>
      </c>
      <c r="C28" s="4" t="inlineStr">
        <is>
          <t>ENZO PAOLO</t>
        </is>
      </c>
      <c r="D28" t="inlineStr">
        <is>
          <t>LA LIBERTAD AVANZA</t>
        </is>
      </c>
      <c r="E28" t="inlineStr">
        <is>
          <t>RÍO NEGRO</t>
        </is>
      </c>
      <c r="F28" t="inlineStr">
        <is>
          <t>ALIANZA LA LIBERTAD AVANZA</t>
        </is>
      </c>
      <c r="G28" s="4" t="inlineStr">
        <is>
          <t>2025-12-26</t>
        </is>
      </c>
      <c r="H28" s="4" t="inlineStr">
        <is>
          <t>2031-12-09</t>
        </is>
      </c>
      <c r="I28" s="4" t="inlineStr">
        <is>
          <t>2025-12-26</t>
        </is>
      </c>
      <c r="J28" s="4" t="inlineStr">
        <is>
          <t>Sin Datos</t>
        </is>
      </c>
      <c r="K28" s="4" t="inlineStr">
        <is>
          <t>enzo.fullone@senado.gob.ar</t>
        </is>
      </c>
      <c r="L28" s="4" t="n"/>
      <c r="Q28" s="12" t="inlineStr">
        <is>
          <t>Bicameral Permanente de la Defensoría del Pueblo | De Agricultura, Ganadería y Pesca | De Infraestructura, Vivienda y Transporte | De Minería, Energía y Combustibles | De Población y Desarrollo Humano | De Sistemas, Medios de Comunicación y Libertad de Expresión | De Turismo</t>
        </is>
      </c>
      <c r="R28" t="inlineStr">
        <is>
          <t>Afirmativo</t>
        </is>
      </c>
      <c r="S28" t="inlineStr">
        <is>
          <t>Afirmativo</t>
        </is>
      </c>
      <c r="U28" t="inlineStr">
        <is>
          <t>Afirmativo</t>
        </is>
      </c>
      <c r="V28" t="inlineStr">
        <is>
          <t>AFIRMATIVO</t>
        </is>
      </c>
      <c r="W28" t="inlineStr">
        <is>
          <t>Afirmativo</t>
        </is>
      </c>
      <c r="X28" t="inlineStr">
        <is>
          <t>AFIRMATIVO</t>
        </is>
      </c>
      <c r="AF28" s="17" t="inlineStr">
        <is>
          <t>AFIRMATIVO</t>
        </is>
      </c>
    </row>
    <row r="29" ht="15.75" customHeight="1" thickBot="1">
      <c r="A29">
        <f>_xlfn.CONCAT(C29," ",B29)</f>
        <v/>
      </c>
      <c r="B29" t="inlineStr">
        <is>
          <t>NATALIA ELENA</t>
        </is>
      </c>
      <c r="C29" t="inlineStr">
        <is>
          <t>GADANO</t>
        </is>
      </c>
      <c r="D29" t="inlineStr">
        <is>
          <t>MOVERE SANTA CRUZ</t>
        </is>
      </c>
      <c r="E29" t="inlineStr">
        <is>
          <t>SANTA CRUZ</t>
        </is>
      </c>
      <c r="F29" t="inlineStr">
        <is>
          <t>FUERZA PATRIA</t>
        </is>
      </c>
      <c r="G29" t="inlineStr">
        <is>
          <t>2019-12-10</t>
        </is>
      </c>
      <c r="H29" t="inlineStr">
        <is>
          <t>2031-12-09</t>
        </is>
      </c>
      <c r="I29" t="inlineStr">
        <is>
          <t>2019-12-10</t>
        </is>
      </c>
      <c r="J29" t="inlineStr">
        <is>
          <t>Sin Datos</t>
        </is>
      </c>
      <c r="K29" t="inlineStr">
        <is>
          <t>mariano.recalde@senado.gob.ar</t>
        </is>
      </c>
      <c r="Q29" s="12" t="inlineStr">
        <is>
          <t>Banca de la Mujer | De Agricultura, Ganadería y Pesca | De Ambiente y Desarrollo Sustentable | De Defensa Nacional | De Industria y Comercio | De Justicia y Asuntos Penales | De Población y Desarrollo Humano</t>
        </is>
      </c>
      <c r="R29" t="inlineStr">
        <is>
          <t>Afirmativo</t>
        </is>
      </c>
      <c r="S29" t="inlineStr">
        <is>
          <t>Afirmativo</t>
        </is>
      </c>
      <c r="U29" t="inlineStr">
        <is>
          <t>Abstención</t>
        </is>
      </c>
      <c r="V29" t="inlineStr">
        <is>
          <t>NEGATIVO</t>
        </is>
      </c>
      <c r="W29" t="inlineStr">
        <is>
          <t>Afirmativo</t>
        </is>
      </c>
      <c r="X29" t="inlineStr">
        <is>
          <t>AFIRMATIVO</t>
        </is>
      </c>
      <c r="AF29" s="17" t="inlineStr">
        <is>
          <t>NEGATIVO</t>
        </is>
      </c>
    </row>
    <row r="30" ht="15.75" customHeight="1" thickBot="1">
      <c r="A30">
        <f>_xlfn.CONCAT(C30," ",B30)</f>
        <v/>
      </c>
      <c r="B30" t="inlineStr">
        <is>
          <t>EDUARDO HORACIO</t>
        </is>
      </c>
      <c r="C30" t="inlineStr">
        <is>
          <t>GALARETTO</t>
        </is>
      </c>
      <c r="D30" t="inlineStr">
        <is>
          <t>UCR - UNIÓN CÍVICA RADICAL</t>
        </is>
      </c>
      <c r="E30" t="inlineStr">
        <is>
          <t>SANTA FE</t>
        </is>
      </c>
      <c r="F30" t="inlineStr">
        <is>
          <t>FUERZA PATRIA</t>
        </is>
      </c>
      <c r="G30" t="inlineStr">
        <is>
          <t>2025-12-10</t>
        </is>
      </c>
      <c r="H30" t="inlineStr">
        <is>
          <t>2031-12-09</t>
        </is>
      </c>
      <c r="I30" t="inlineStr">
        <is>
          <t>2025-12-10</t>
        </is>
      </c>
      <c r="J30" t="inlineStr">
        <is>
          <t>Sin Datos</t>
        </is>
      </c>
      <c r="K30" t="inlineStr">
        <is>
          <t>martin.soria@senado.gob.ar</t>
        </is>
      </c>
      <c r="Q30" s="12" t="inlineStr">
        <is>
          <t>Bicameral de Control de los Fondos de la Seguridad Social (Ley 26.425) | De Agricultura, Ganadería y Pesca | De Defensa Nacional | De Deporte | De Economía Nacional e Inversión | De Infraestructura, Vivienda y Transporte | De Minería, Energía y Combustibles | De Salud | De Seguridad Interior y Narcotráfico</t>
        </is>
      </c>
      <c r="R30" t="inlineStr">
        <is>
          <t>Afirmativo</t>
        </is>
      </c>
      <c r="S30" t="inlineStr">
        <is>
          <t>Afirmativo</t>
        </is>
      </c>
      <c r="U30" t="inlineStr">
        <is>
          <t>Afirmativo</t>
        </is>
      </c>
      <c r="V30" t="inlineStr">
        <is>
          <t>AFIRMATIVO</t>
        </is>
      </c>
      <c r="W30" t="inlineStr">
        <is>
          <t>Afirmativo</t>
        </is>
      </c>
      <c r="X30" t="inlineStr">
        <is>
          <t>AFIRMATIVO</t>
        </is>
      </c>
      <c r="AF30" s="17" t="inlineStr">
        <is>
          <t>AFIRMATIVO</t>
        </is>
      </c>
    </row>
    <row r="31" ht="15.75" customHeight="1" thickBot="1">
      <c r="A31">
        <f>_xlfn.CONCAT(C31," ",B31)</f>
        <v/>
      </c>
      <c r="B31" t="inlineStr">
        <is>
          <t>MARÍA CELESTE</t>
        </is>
      </c>
      <c r="C31" t="inlineStr">
        <is>
          <t>GIMÉNEZ NAVARRO</t>
        </is>
      </c>
      <c r="D31" t="inlineStr">
        <is>
          <t>JUSTICIALISTA</t>
        </is>
      </c>
      <c r="E31" t="inlineStr">
        <is>
          <t>SAN JUAN</t>
        </is>
      </c>
      <c r="F31" t="inlineStr">
        <is>
          <t>ALIANZA UNIÓN POR LA PATRIA</t>
        </is>
      </c>
      <c r="G31" t="inlineStr">
        <is>
          <t>2023-12-10</t>
        </is>
      </c>
      <c r="H31" t="inlineStr">
        <is>
          <t>2029-12-09</t>
        </is>
      </c>
      <c r="I31" t="inlineStr">
        <is>
          <t>2023-12-10</t>
        </is>
      </c>
      <c r="J31" t="inlineStr">
        <is>
          <t>Sin Datos</t>
        </is>
      </c>
      <c r="K31" t="inlineStr">
        <is>
          <t>eduardo.depedro@senado.gob.ar</t>
        </is>
      </c>
      <c r="L31" t="inlineStr">
        <is>
          <t>1069 / 1073 / 1080</t>
        </is>
      </c>
      <c r="M31" t="inlineStr">
        <is>
          <t>https://www.facebook.com/wadodecorrido</t>
        </is>
      </c>
      <c r="N31" t="inlineStr">
        <is>
          <t>https://twitter.com/wadodecorrido</t>
        </is>
      </c>
      <c r="O31" t="inlineStr">
        <is>
          <t>https://www.instagram.com/wadodecorrido</t>
        </is>
      </c>
      <c r="P31" t="inlineStr">
        <is>
          <t>https://www.youtube.com/wadodecorrido</t>
        </is>
      </c>
      <c r="Q31" s="12" t="inlineStr">
        <is>
          <t>Bicameral Permanente de Fiscalización de los Órganos y Actividades de Seguridad Interior (Ley 24.059 y Sus Modificatorias Leyes 24.194 y 25.520) | Banca de la Mujer | De Ciencia y Tecnología | De Educación y Cultura | De Legislación General | De Población y Desarrollo Humano | De Salud | De Sistemas, Medios de Comunicación y Libertad de Expresión</t>
        </is>
      </c>
      <c r="R31" t="inlineStr">
        <is>
          <t>Negativo</t>
        </is>
      </c>
      <c r="S31" t="inlineStr">
        <is>
          <t>Negativo</t>
        </is>
      </c>
      <c r="U31" t="inlineStr">
        <is>
          <t>Negativo</t>
        </is>
      </c>
      <c r="V31" t="inlineStr">
        <is>
          <t>NEGATIVO</t>
        </is>
      </c>
      <c r="W31" t="inlineStr">
        <is>
          <t>Negativo</t>
        </is>
      </c>
      <c r="X31" t="inlineStr">
        <is>
          <t>AFIRMATIVO</t>
        </is>
      </c>
      <c r="AF31" s="17" t="inlineStr">
        <is>
          <t>NEGATIVO</t>
        </is>
      </c>
    </row>
    <row r="32" ht="15.75" customHeight="1" thickBot="1">
      <c r="A32">
        <f>_xlfn.CONCAT(C32," ",B32)</f>
        <v/>
      </c>
      <c r="B32" t="inlineStr">
        <is>
          <t>JUAN CRUZ</t>
        </is>
      </c>
      <c r="C32" t="inlineStr">
        <is>
          <t>GODOY</t>
        </is>
      </c>
      <c r="D32" t="inlineStr">
        <is>
          <t>LA LIBERTAD AVANZA</t>
        </is>
      </c>
      <c r="E32" t="inlineStr">
        <is>
          <t>CHACO</t>
        </is>
      </c>
      <c r="F32" t="inlineStr">
        <is>
          <t>ALIANZA UNIÓN POR LA PATRIA</t>
        </is>
      </c>
      <c r="G32" t="inlineStr">
        <is>
          <t>2023-12-10</t>
        </is>
      </c>
      <c r="H32" t="inlineStr">
        <is>
          <t>2029-12-09</t>
        </is>
      </c>
      <c r="I32" t="inlineStr">
        <is>
          <t>2023-12-10</t>
        </is>
      </c>
      <c r="J32" t="inlineStr">
        <is>
          <t>Sin Datos</t>
        </is>
      </c>
      <c r="K32" t="inlineStr">
        <is>
          <t>mayans@senado.gob.ar</t>
        </is>
      </c>
      <c r="L32" t="inlineStr">
        <is>
          <t>1023 / 1036 / 1039</t>
        </is>
      </c>
      <c r="Q32" s="12" t="inlineStr">
        <is>
          <t>Bicameral Permanente de Promoción y Seguimiento de la Comunicación Audiovisual, las Tecnologías de las Telecomunicaciones y la Digitalización (Ley 26.522,Y Sus Modificatorias 27.078 y Dnu 267/15) | Bicameral Permanente de Seguimiento y Control del Ministerio Público de la Nación (Ley 24.946 y Sus Modificatorias Ley 27.148 y 27.149) | De Acuerdos | De Deporte | De Economías Regionales, Economía Social, Micro, Pequeña y Mediana Empresa | De Minería, Energía y Combustibles | De Población y Desarrollo Humano | De Sistemas, Medios de Comunicación y Libertad de Expresión | De Trabajo y Previsión Social</t>
        </is>
      </c>
      <c r="R32" t="inlineStr">
        <is>
          <t>Afirmativo</t>
        </is>
      </c>
      <c r="S32" t="inlineStr">
        <is>
          <t>Afirmativo</t>
        </is>
      </c>
      <c r="U32" t="inlineStr">
        <is>
          <t>Afirmativo</t>
        </is>
      </c>
      <c r="V32" t="inlineStr">
        <is>
          <t>AFIRMATIVO</t>
        </is>
      </c>
      <c r="W32" t="inlineStr">
        <is>
          <t>Afirmativo</t>
        </is>
      </c>
      <c r="X32" t="inlineStr">
        <is>
          <t>AFIRMATIVO</t>
        </is>
      </c>
      <c r="AF32" s="17" t="inlineStr">
        <is>
          <t>AFIRMATIVO</t>
        </is>
      </c>
    </row>
    <row r="33" ht="15.75" customHeight="1" thickBot="1">
      <c r="A33">
        <f>_xlfn.CONCAT(C33," ",B33)</f>
        <v/>
      </c>
      <c r="B33" t="inlineStr">
        <is>
          <t>ENRIQUE MARTÍN</t>
        </is>
      </c>
      <c r="C33" t="inlineStr">
        <is>
          <t>GOERLING LARA</t>
        </is>
      </c>
      <c r="D33" t="inlineStr">
        <is>
          <t>FRENTE PRO</t>
        </is>
      </c>
      <c r="E33" t="inlineStr">
        <is>
          <t>MISIONES</t>
        </is>
      </c>
      <c r="F33" t="inlineStr">
        <is>
          <t>FUERZA ENTRE RÍOS</t>
        </is>
      </c>
      <c r="G33" t="inlineStr">
        <is>
          <t>2025-12-10</t>
        </is>
      </c>
      <c r="H33" t="inlineStr">
        <is>
          <t>2031-12-09</t>
        </is>
      </c>
      <c r="I33" t="inlineStr">
        <is>
          <t>2025-12-10</t>
        </is>
      </c>
      <c r="J33" t="inlineStr">
        <is>
          <t>Sin Datos</t>
        </is>
      </c>
      <c r="K33" t="inlineStr">
        <is>
          <t>adan.bahl@senado.gob.ar</t>
        </is>
      </c>
      <c r="Q33" s="12" t="inlineStr">
        <is>
          <t>Bicameral Permanente de Fiscalización de los Órganos y Actividades de Seguridad Interior (Ley 24.059 y Sus Modificatorias Leyes 24.194 y 25.520) | Bicameral Permanente de la Defensoría del Pueblo | De Acuerdos | De Agricultura, Ganadería y Pesca | De Ambiente y Desarrollo Sustentable | De Defensa Nacional | De Relaciones Exteriores y Culto | De Seguridad Interior y Narcotráfico</t>
        </is>
      </c>
      <c r="R33" t="inlineStr">
        <is>
          <t>Afirmativo</t>
        </is>
      </c>
      <c r="S33" t="inlineStr">
        <is>
          <t>Afirmativo</t>
        </is>
      </c>
      <c r="U33" t="inlineStr">
        <is>
          <t>Afirmativo</t>
        </is>
      </c>
      <c r="V33" t="inlineStr">
        <is>
          <t>AFIRMATIVO</t>
        </is>
      </c>
      <c r="W33" t="inlineStr">
        <is>
          <t>Afirmativo</t>
        </is>
      </c>
      <c r="X33" t="inlineStr">
        <is>
          <t>AFIRMATIVO</t>
        </is>
      </c>
      <c r="AF33" s="17" t="inlineStr">
        <is>
          <t>AFIRMATIVO</t>
        </is>
      </c>
    </row>
    <row r="34" ht="15.75" customHeight="1" thickBot="1">
      <c r="A34">
        <f>_xlfn.CONCAT(C34," ",B34)</f>
        <v/>
      </c>
      <c r="B34" t="inlineStr">
        <is>
          <t>MARÍA TERESA MARGARITA</t>
        </is>
      </c>
      <c r="C34" t="inlineStr">
        <is>
          <t>GONZÁLEZ</t>
        </is>
      </c>
      <c r="D34" t="inlineStr">
        <is>
          <t>JUSTICIALISTA</t>
        </is>
      </c>
      <c r="E34" t="inlineStr">
        <is>
          <t>FORMOSA</t>
        </is>
      </c>
      <c r="F34" t="inlineStr">
        <is>
          <t>ALIANZA UNIÓN POR LA PATRIA</t>
        </is>
      </c>
      <c r="G34" t="inlineStr">
        <is>
          <t>2023-12-10</t>
        </is>
      </c>
      <c r="H34" t="inlineStr">
        <is>
          <t>2029-12-09</t>
        </is>
      </c>
      <c r="I34" t="inlineStr">
        <is>
          <t>2023-12-10</t>
        </is>
      </c>
      <c r="J34" t="inlineStr">
        <is>
          <t>Sin Datos</t>
        </is>
      </c>
      <c r="K34" t="inlineStr">
        <is>
          <t>juliana.ditullio@senado.gob.ar</t>
        </is>
      </c>
      <c r="L34" t="inlineStr">
        <is>
          <t>1084 / 1098</t>
        </is>
      </c>
      <c r="Q34" s="12" t="inlineStr">
        <is>
          <t>Banca de la Mujer | De Ciencia y Tecnología | De Educación y Cultura | De Infraestructura, Vivienda y Transporte | De Población y Desarrollo Humano | De Salud</t>
        </is>
      </c>
      <c r="R34" t="inlineStr">
        <is>
          <t>Negativo</t>
        </is>
      </c>
      <c r="S34" t="inlineStr">
        <is>
          <t>Negativo</t>
        </is>
      </c>
      <c r="U34" t="inlineStr">
        <is>
          <t>Negativo</t>
        </is>
      </c>
      <c r="V34" t="inlineStr">
        <is>
          <t>NEGATIVO</t>
        </is>
      </c>
      <c r="W34" t="inlineStr">
        <is>
          <t>Negativo</t>
        </is>
      </c>
      <c r="X34" t="inlineStr">
        <is>
          <t>AFIRMATIVO</t>
        </is>
      </c>
      <c r="AF34" s="17" t="inlineStr">
        <is>
          <t>NEGATIVO</t>
        </is>
      </c>
    </row>
    <row r="35" ht="15.75" customHeight="1" thickBot="1">
      <c r="A35">
        <f>_xlfn.CONCAT(C35," ",B35)</f>
        <v/>
      </c>
      <c r="B35" t="inlineStr">
        <is>
          <t>GONZALO</t>
        </is>
      </c>
      <c r="C35" t="inlineStr">
        <is>
          <t>GUZMÁN CORAITA</t>
        </is>
      </c>
      <c r="D35" t="inlineStr">
        <is>
          <t>LA LIBERTAD AVANZA</t>
        </is>
      </c>
      <c r="E35" t="inlineStr">
        <is>
          <t>SALTA</t>
        </is>
      </c>
      <c r="F35" t="inlineStr">
        <is>
          <t>FRENTE DE TODOS</t>
        </is>
      </c>
      <c r="G35" t="inlineStr">
        <is>
          <t>2021-12-10</t>
        </is>
      </c>
      <c r="H35" t="inlineStr">
        <is>
          <t>2027-12-09</t>
        </is>
      </c>
      <c r="I35" t="inlineStr">
        <is>
          <t>2021-12-10</t>
        </is>
      </c>
      <c r="J35" t="inlineStr">
        <is>
          <t>Sin Datos</t>
        </is>
      </c>
      <c r="K35" t="inlineStr">
        <is>
          <t>sandra.mendoza@senado.gob.ar</t>
        </is>
      </c>
      <c r="L35" t="inlineStr">
        <is>
          <t>1477/ 79 / 74</t>
        </is>
      </c>
      <c r="M35" t="inlineStr">
        <is>
          <t>https://www.facebook.com/sandramentuc</t>
        </is>
      </c>
      <c r="N35" t="inlineStr">
        <is>
          <t>https://twitter.com/sandram_tuc</t>
        </is>
      </c>
      <c r="O35" t="inlineStr">
        <is>
          <t>https://www.instagram.com/sandramendozasn</t>
        </is>
      </c>
      <c r="Q35" s="12" t="inlineStr">
        <is>
          <t>De Asuntos Administrativos y Municipales | De Ciencia y Tecnología | De Economía Nacional e Inversión | De Justicia y Asuntos Penales | De Presupuesto y Hacienda | De Relaciones Exteriores y Culto | De Seguridad Interior y Narcotráfico</t>
        </is>
      </c>
      <c r="R35" t="inlineStr">
        <is>
          <t>Afirmativo</t>
        </is>
      </c>
      <c r="S35" t="inlineStr">
        <is>
          <t>Afirmativo</t>
        </is>
      </c>
      <c r="U35" t="inlineStr">
        <is>
          <t>Afirmativo</t>
        </is>
      </c>
      <c r="V35" t="inlineStr">
        <is>
          <t>AFIRMATIVO</t>
        </is>
      </c>
      <c r="W35" t="inlineStr">
        <is>
          <t>Afirmativo</t>
        </is>
      </c>
      <c r="X35" t="inlineStr">
        <is>
          <t>AFIRMATIVO</t>
        </is>
      </c>
      <c r="AF35" s="17" t="inlineStr">
        <is>
          <t>AFIRMATIVO</t>
        </is>
      </c>
    </row>
    <row r="36" ht="15.75" customHeight="1" thickBot="1">
      <c r="A36">
        <f>_xlfn.CONCAT(C36," ",B36)</f>
        <v/>
      </c>
      <c r="B36" t="inlineStr">
        <is>
          <t>MARÍA VICTORIA</t>
        </is>
      </c>
      <c r="C36" t="inlineStr">
        <is>
          <t>HUALA</t>
        </is>
      </c>
      <c r="D36" t="inlineStr">
        <is>
          <t>FRENTE PRO</t>
        </is>
      </c>
      <c r="E36" t="inlineStr">
        <is>
          <t>LA PAMPA</t>
        </is>
      </c>
      <c r="F36" t="inlineStr">
        <is>
          <t>PARTIDO RENOVADOR FEDERAL</t>
        </is>
      </c>
      <c r="G36" t="inlineStr">
        <is>
          <t>2023-12-10</t>
        </is>
      </c>
      <c r="H36" t="inlineStr">
        <is>
          <t>2029-12-09</t>
        </is>
      </c>
      <c r="I36" t="inlineStr">
        <is>
          <t>2023-12-10</t>
        </is>
      </c>
      <c r="J36" t="inlineStr">
        <is>
          <t>Sin Datos</t>
        </is>
      </c>
      <c r="K36" t="inlineStr">
        <is>
          <t>vilma.bedia@senado.gob.ar</t>
        </is>
      </c>
      <c r="L36" t="n">
        <v>3415</v>
      </c>
      <c r="Q36" s="12" t="inlineStr">
        <is>
          <t>Bicameral de Control de los Fondos de la Seguridad Social (Ley 26.425) | Bicameral Permanente de Promoción y Seguimiento de la Comunicación Audiovisual, las Tecnologías de las Telecomunicaciones y la Digitalización (Ley 26.522,Y Sus Modificatorias 27.078 y Dnu 267/15) | Banca de la Mujer | De Asuntos Administrativos y Municipales | De Ciencia y Tecnología | De Derechos y Garantías | De Educación y Cultura | De Justicia y Asuntos Penales | De Legislación General | De Población y Desarrollo Humano | De Trabajo y Previsión Social</t>
        </is>
      </c>
      <c r="R36" t="inlineStr">
        <is>
          <t>Afirmativo</t>
        </is>
      </c>
      <c r="S36" t="inlineStr">
        <is>
          <t>Afirmativo</t>
        </is>
      </c>
      <c r="U36" t="inlineStr">
        <is>
          <t>Afirmativo</t>
        </is>
      </c>
      <c r="V36" t="inlineStr">
        <is>
          <t>NEGATIVO</t>
        </is>
      </c>
      <c r="W36" t="inlineStr">
        <is>
          <t>Afirmativo</t>
        </is>
      </c>
      <c r="X36" t="inlineStr">
        <is>
          <t>AFIRMATIVO</t>
        </is>
      </c>
      <c r="AF36" s="17" t="inlineStr">
        <is>
          <t>AFIRMATIVO</t>
        </is>
      </c>
    </row>
    <row r="37" ht="15.75" customHeight="1" thickBot="1">
      <c r="A37">
        <f>_xlfn.CONCAT(C37," ",B37)</f>
        <v/>
      </c>
      <c r="B37" t="inlineStr">
        <is>
          <t>LUIS ALFREDO</t>
        </is>
      </c>
      <c r="C37" t="inlineStr">
        <is>
          <t>JUEZ</t>
        </is>
      </c>
      <c r="D37" t="inlineStr">
        <is>
          <t>LA LIBERTAD AVANZA</t>
        </is>
      </c>
      <c r="E37" t="inlineStr">
        <is>
          <t>CÓRDOBA</t>
        </is>
      </c>
      <c r="F37" t="inlineStr">
        <is>
          <t>FRENTE RENOVADOR DE LA CONCORDIA-INNOVACIÓN FEDERAL</t>
        </is>
      </c>
      <c r="G37" t="inlineStr">
        <is>
          <t>2023-12-10</t>
        </is>
      </c>
      <c r="H37" t="inlineStr">
        <is>
          <t>2029-12-09</t>
        </is>
      </c>
      <c r="I37" t="inlineStr">
        <is>
          <t>2023-12-10</t>
        </is>
      </c>
      <c r="J37" t="inlineStr">
        <is>
          <t>Sin Datos</t>
        </is>
      </c>
      <c r="K37" t="inlineStr">
        <is>
          <t>carlos.arce@senado.gob.ar</t>
        </is>
      </c>
      <c r="L37" t="inlineStr">
        <is>
          <t>1359 / 1364</t>
        </is>
      </c>
      <c r="Q37" s="12" t="inlineStr">
        <is>
          <t>Bicameral Permanente de Seguimiento y Control del Ministerio Público de la Nación (Ley 24.946 y Sus Modificatorias Ley 27.148 y 27.149) | De Asuntos Constitucionales | De Defensa Nacional | De Justicia y Asuntos Penales | De Legislación General | De Relaciones Exteriores y Culto</t>
        </is>
      </c>
      <c r="R37" t="inlineStr">
        <is>
          <t>Afirmativo</t>
        </is>
      </c>
      <c r="S37" t="inlineStr">
        <is>
          <t>Afirmativo</t>
        </is>
      </c>
      <c r="U37" t="inlineStr">
        <is>
          <t>Afirmativo</t>
        </is>
      </c>
      <c r="V37" t="inlineStr">
        <is>
          <t>AFIRMATIVO</t>
        </is>
      </c>
      <c r="W37" t="inlineStr">
        <is>
          <t>Afirmativo</t>
        </is>
      </c>
      <c r="X37" t="inlineStr">
        <is>
          <t>AFIRMATIVO</t>
        </is>
      </c>
      <c r="AF37" s="17" t="inlineStr">
        <is>
          <t>AUSENTE</t>
        </is>
      </c>
    </row>
    <row r="38" ht="15.75" customHeight="1" thickBot="1">
      <c r="A38">
        <f>_xlfn.CONCAT(C38," ",B38)</f>
        <v/>
      </c>
      <c r="B38" t="inlineStr">
        <is>
          <t>MARIANA</t>
        </is>
      </c>
      <c r="C38" t="inlineStr">
        <is>
          <t>JURI</t>
        </is>
      </c>
      <c r="D38" t="inlineStr">
        <is>
          <t>UCR - UNIÓN CÍVICA RADICAL</t>
        </is>
      </c>
      <c r="E38" t="inlineStr">
        <is>
          <t>MENDOZA</t>
        </is>
      </c>
      <c r="F38" t="inlineStr">
        <is>
          <t>FRENTE CAMBIA MENDOZA</t>
        </is>
      </c>
      <c r="G38" t="inlineStr">
        <is>
          <t>2023-12-09</t>
        </is>
      </c>
      <c r="H38" t="inlineStr">
        <is>
          <t>2027-12-09</t>
        </is>
      </c>
      <c r="I38" t="inlineStr">
        <is>
          <t>2023-12-09</t>
        </is>
      </c>
      <c r="J38" t="inlineStr">
        <is>
          <t>Sin Datos</t>
        </is>
      </c>
      <c r="K38" t="inlineStr">
        <is>
          <t>rodolfo.suarez@senado.gob.ar</t>
        </is>
      </c>
      <c r="L38" t="n">
        <v>1460</v>
      </c>
      <c r="M38" t="inlineStr">
        <is>
          <t>https://www.facebook.com/RodolfoSuarezMendoza</t>
        </is>
      </c>
      <c r="N38" t="inlineStr">
        <is>
          <t>https://twitter.com/rodysuarez</t>
        </is>
      </c>
      <c r="O38" t="inlineStr">
        <is>
          <t>https://www.instagram.com/rody.suarez</t>
        </is>
      </c>
      <c r="Q38" s="12" t="inlineStr">
        <is>
          <t>Banca de la Mujer | De Ciencia y Tecnología | De Deporte | De Economía Nacional e Inversión | De Infraestructura, Vivienda y Transporte | De Minería, Energía y Combustibles</t>
        </is>
      </c>
      <c r="R38" t="inlineStr">
        <is>
          <t>Afirmativo</t>
        </is>
      </c>
      <c r="S38" t="inlineStr">
        <is>
          <t>Afirmativo</t>
        </is>
      </c>
      <c r="U38" t="inlineStr">
        <is>
          <t>Afirmativo</t>
        </is>
      </c>
      <c r="V38" t="inlineStr">
        <is>
          <t>AFIRMATIVO</t>
        </is>
      </c>
      <c r="W38" t="inlineStr">
        <is>
          <t>Afirmativo</t>
        </is>
      </c>
      <c r="X38" t="inlineStr">
        <is>
          <t>AFIRMATIVO</t>
        </is>
      </c>
      <c r="AF38" s="17" t="inlineStr">
        <is>
          <t>AFIRMATIVO</t>
        </is>
      </c>
    </row>
    <row r="39" ht="15.75" customHeight="1" thickBot="1">
      <c r="A39">
        <f>_xlfn.CONCAT(C39," ",B39)</f>
        <v/>
      </c>
      <c r="B39" t="inlineStr">
        <is>
          <t>ALICIA MARGARITA ANTONIA</t>
        </is>
      </c>
      <c r="C39" t="inlineStr">
        <is>
          <t>KIRCHNER</t>
        </is>
      </c>
      <c r="D39" t="inlineStr">
        <is>
          <t>JUSTICIALISTA</t>
        </is>
      </c>
      <c r="E39" t="inlineStr">
        <is>
          <t>SANTA CRUZ</t>
        </is>
      </c>
      <c r="F39" t="inlineStr">
        <is>
          <t>FRENTE TODOS</t>
        </is>
      </c>
      <c r="G39" t="inlineStr">
        <is>
          <t>2021-12-10</t>
        </is>
      </c>
      <c r="H39" t="inlineStr">
        <is>
          <t>2027-12-09</t>
        </is>
      </c>
      <c r="I39" t="inlineStr">
        <is>
          <t>2021-12-10</t>
        </is>
      </c>
      <c r="J39" t="inlineStr">
        <is>
          <t>Sin Datos</t>
        </is>
      </c>
      <c r="K39" t="inlineStr">
        <is>
          <t>carlos.espinola@senado.gob.ar</t>
        </is>
      </c>
      <c r="L39" t="inlineStr">
        <is>
          <t>1222 / 1225 / 3183 / 3190</t>
        </is>
      </c>
      <c r="N39" t="inlineStr">
        <is>
          <t>https://twitter.com/espinolacamau</t>
        </is>
      </c>
      <c r="Q39" s="12" t="inlineStr">
        <is>
          <t>Bicameral Permanente de la Defensoría del Pueblo | Bicameral Permanente de Seguimiento y Control del Ministerio Público de la Nación (Ley 24.946 y Sus Modificatorias Ley 27.148 y 27.149) | Banca de la Mujer | De Coparticipación Federal de Impuestos | De Derechos y Garantías | De Legislación General | De Población y Desarrollo Humano | De Turismo</t>
        </is>
      </c>
      <c r="R39" t="inlineStr">
        <is>
          <t>Negativo</t>
        </is>
      </c>
      <c r="S39" t="inlineStr">
        <is>
          <t>Negativo</t>
        </is>
      </c>
      <c r="U39" t="inlineStr">
        <is>
          <t>Negativo</t>
        </is>
      </c>
      <c r="V39" t="inlineStr">
        <is>
          <t>NEGATIVO</t>
        </is>
      </c>
      <c r="W39" t="inlineStr">
        <is>
          <t>Negativo</t>
        </is>
      </c>
      <c r="X39" t="inlineStr">
        <is>
          <t>AFIRMATIVO</t>
        </is>
      </c>
      <c r="AF39" s="17" t="inlineStr">
        <is>
          <t>NEGATIVO</t>
        </is>
      </c>
    </row>
    <row r="40" ht="15.75" customHeight="1" thickBot="1">
      <c r="A40">
        <f>_xlfn.CONCAT(C40," ",B40)</f>
        <v/>
      </c>
      <c r="B40" t="inlineStr">
        <is>
          <t>DANIEL RICARDO</t>
        </is>
      </c>
      <c r="C40" t="inlineStr">
        <is>
          <t>KRONEBERGER</t>
        </is>
      </c>
      <c r="D40" t="inlineStr">
        <is>
          <t>UCR - UNIÓN CÍVICA RADICAL</t>
        </is>
      </c>
      <c r="E40" t="inlineStr">
        <is>
          <t>LA PAMPA</t>
        </is>
      </c>
      <c r="F40" t="inlineStr">
        <is>
          <t>JUNTOS POR EL CAMBIO CHUBUT</t>
        </is>
      </c>
      <c r="G40" t="inlineStr">
        <is>
          <t>2021-12-10</t>
        </is>
      </c>
      <c r="H40" t="inlineStr">
        <is>
          <t>2027-12-09</t>
        </is>
      </c>
      <c r="I40" t="inlineStr">
        <is>
          <t>2021-12-10</t>
        </is>
      </c>
      <c r="J40" t="inlineStr">
        <is>
          <t>Sin Datos</t>
        </is>
      </c>
      <c r="K40" t="inlineStr">
        <is>
          <t>edith.terenzi@senado.gob.ar</t>
        </is>
      </c>
      <c r="L40" t="n">
        <v>3538</v>
      </c>
      <c r="Q40" s="12" t="inlineStr">
        <is>
          <t>Bicameral Permanente de la Defensoría del Pueblo | De Agricultura, Ganadería y Pesca | De Ambiente y Desarrollo Sustentable | De Asuntos Administrativos y Municipales | De Economía Nacional e Inversión | De Economías Regionales, Economía Social, Micro, Pequeña y Mediana Empresa | De Industria y Comercio | De Población y Desarrollo Humano | De Sistemas, Medios de Comunicación y Libertad de Expresión</t>
        </is>
      </c>
      <c r="R40" t="inlineStr">
        <is>
          <t>Negativo</t>
        </is>
      </c>
      <c r="S40" t="inlineStr">
        <is>
          <t>Afirmativo</t>
        </is>
      </c>
      <c r="U40" t="inlineStr">
        <is>
          <t>Afirmativo</t>
        </is>
      </c>
      <c r="V40" t="inlineStr">
        <is>
          <t>NEGATIVO</t>
        </is>
      </c>
      <c r="W40" t="inlineStr">
        <is>
          <t>Afirmativo</t>
        </is>
      </c>
      <c r="X40" t="inlineStr">
        <is>
          <t>AFIRMATIVO</t>
        </is>
      </c>
      <c r="AF40" s="17" t="inlineStr">
        <is>
          <t>AFIRMATIVO</t>
        </is>
      </c>
    </row>
    <row r="41" ht="15.75" customHeight="1" thickBot="1">
      <c r="A41">
        <f>_xlfn.CONCAT(C41," ",B41)</f>
        <v/>
      </c>
      <c r="B41" t="inlineStr">
        <is>
          <t>MARCELO NÉSTOR</t>
        </is>
      </c>
      <c r="C41" t="inlineStr">
        <is>
          <t>LEWANDOWSKI</t>
        </is>
      </c>
      <c r="D41" t="inlineStr">
        <is>
          <t>JUSTICIALISTA</t>
        </is>
      </c>
      <c r="E41" t="inlineStr">
        <is>
          <t>SANTA FE</t>
        </is>
      </c>
      <c r="F41" t="inlineStr">
        <is>
          <t>JUNTOS POR EL CAMBIO</t>
        </is>
      </c>
      <c r="G41" t="inlineStr">
        <is>
          <t>2021-12-10</t>
        </is>
      </c>
      <c r="H41" t="inlineStr">
        <is>
          <t>2027-12-09</t>
        </is>
      </c>
      <c r="I41" t="inlineStr">
        <is>
          <t>2021-12-10</t>
        </is>
      </c>
      <c r="J41" t="inlineStr">
        <is>
          <t>Sin Datos</t>
        </is>
      </c>
      <c r="K41" t="inlineStr">
        <is>
          <t>flavio.fama@senado.gob.ar</t>
        </is>
      </c>
      <c r="L41" t="n">
        <v>1396</v>
      </c>
      <c r="M41" t="inlineStr">
        <is>
          <t>https://www.facebook.com/flaviofamaoficial</t>
        </is>
      </c>
      <c r="N41" t="inlineStr">
        <is>
          <t>https://twitter.com/ flaviofama</t>
        </is>
      </c>
      <c r="O41" t="inlineStr">
        <is>
          <t>https://instagram.com/flaviofamaoficial</t>
        </is>
      </c>
      <c r="Q41" s="12" t="inlineStr">
        <is>
          <t>Bicameral Permanente de Promoción y Seguimiento de la Comunicación Audiovisual, las Tecnologías de las Telecomunicaciones y la Digitalización (Ley 26.522,Y Sus Modificatorias 27.078 y Dnu 267/15) | De Deporte | De Industria y Comercio | De Infraestructura, Vivienda y Transporte | De Relaciones Exteriores y Culto | De Seguridad Interior y Narcotráfico</t>
        </is>
      </c>
      <c r="R41" t="inlineStr">
        <is>
          <t>Negativo</t>
        </is>
      </c>
      <c r="S41" t="inlineStr">
        <is>
          <t>Negativo</t>
        </is>
      </c>
      <c r="U41" t="inlineStr">
        <is>
          <t>Negativo</t>
        </is>
      </c>
      <c r="V41" t="inlineStr">
        <is>
          <t>NEGATIVO</t>
        </is>
      </c>
      <c r="W41" t="inlineStr">
        <is>
          <t>Negativo</t>
        </is>
      </c>
      <c r="X41" t="inlineStr">
        <is>
          <t>AFIRMATIVO</t>
        </is>
      </c>
      <c r="AF41" s="17" t="inlineStr">
        <is>
          <t>AUSENTE</t>
        </is>
      </c>
    </row>
    <row r="42" ht="15.75" customHeight="1" thickBot="1">
      <c r="A42">
        <f>_xlfn.CONCAT(C42," ",B42)</f>
        <v/>
      </c>
      <c r="B42" t="inlineStr">
        <is>
          <t>CARLOS ALBERTO</t>
        </is>
      </c>
      <c r="C42" t="inlineStr">
        <is>
          <t>LINARES</t>
        </is>
      </c>
      <c r="D42" t="inlineStr">
        <is>
          <t>JUSTICIALISTA</t>
        </is>
      </c>
      <c r="E42" t="inlineStr">
        <is>
          <t>CHUBUT</t>
        </is>
      </c>
      <c r="F42" t="inlineStr">
        <is>
          <t>JUSTICIALISTA</t>
        </is>
      </c>
      <c r="G42" t="inlineStr">
        <is>
          <t>2021-12-10</t>
        </is>
      </c>
      <c r="H42" t="inlineStr">
        <is>
          <t>2027-12-09</t>
        </is>
      </c>
      <c r="I42" t="inlineStr">
        <is>
          <t>2021-12-10</t>
        </is>
      </c>
      <c r="J42" t="inlineStr">
        <is>
          <t>Sin Datos</t>
        </is>
      </c>
      <c r="K42" t="inlineStr">
        <is>
          <t>anabel.fernandezsagasti@senado.gob.ar</t>
        </is>
      </c>
      <c r="L42" t="inlineStr">
        <is>
          <t>1535 / 1467</t>
        </is>
      </c>
      <c r="M42" t="inlineStr">
        <is>
          <t>https://www.facebook.com/anabelfsagasti</t>
        </is>
      </c>
      <c r="N42" t="inlineStr">
        <is>
          <t>https://twitter.com/anabelfsagasti</t>
        </is>
      </c>
      <c r="O42" t="inlineStr">
        <is>
          <t>https://www.instagram.com/anabelfsagasti</t>
        </is>
      </c>
      <c r="P42" t="inlineStr">
        <is>
          <t>https://www.youtube.com/anabelfsagasti</t>
        </is>
      </c>
      <c r="Q42" s="12" t="inlineStr">
        <is>
          <t>Bicameral Permanente de Seguimiento y Control del Ministerio Público de la Nación (Ley 24.946 y Sus Modificatorias Ley 27.148 y 27.149) | De Ciencia y Tecnología | De Defensa Nacional | De Derechos y Garantías | De Seguridad Interior y Narcotráfico</t>
        </is>
      </c>
      <c r="R42" t="inlineStr">
        <is>
          <t>Negativo</t>
        </is>
      </c>
      <c r="S42" t="inlineStr">
        <is>
          <t>Negativo</t>
        </is>
      </c>
      <c r="U42" t="inlineStr">
        <is>
          <t>Negativo</t>
        </is>
      </c>
      <c r="V42" t="inlineStr">
        <is>
          <t>NEGATIVO</t>
        </is>
      </c>
      <c r="W42" t="inlineStr">
        <is>
          <t>Negativo</t>
        </is>
      </c>
      <c r="X42" t="inlineStr">
        <is>
          <t>AFIRMATIVO</t>
        </is>
      </c>
      <c r="AF42" s="17" t="inlineStr">
        <is>
          <t>NEGATIVO</t>
        </is>
      </c>
    </row>
    <row r="43" ht="15.75" customHeight="1" thickBot="1">
      <c r="A43">
        <f>_xlfn.CONCAT(C43," ",B43)</f>
        <v/>
      </c>
      <c r="B43" t="inlineStr">
        <is>
          <t>CÁNDIDA CRISTINA</t>
        </is>
      </c>
      <c r="C43" t="inlineStr">
        <is>
          <t>LÓPEZ</t>
        </is>
      </c>
      <c r="D43" t="inlineStr">
        <is>
          <t>JUSTICIALISTA</t>
        </is>
      </c>
      <c r="E43" t="inlineStr">
        <is>
          <t>TIERRA DEL FUEGO, ANTÁRTIDA E ISLAS DEL ATLÁNTICO SUR</t>
        </is>
      </c>
      <c r="F43" t="inlineStr">
        <is>
          <t>ALIANZA POR SANTA CRUZ</t>
        </is>
      </c>
      <c r="G43" t="inlineStr">
        <is>
          <t>2023-12-10</t>
        </is>
      </c>
      <c r="H43" t="inlineStr">
        <is>
          <t>2029-12-09</t>
        </is>
      </c>
      <c r="I43" t="inlineStr">
        <is>
          <t>2023-12-10</t>
        </is>
      </c>
      <c r="J43" t="inlineStr">
        <is>
          <t>Sin Datos</t>
        </is>
      </c>
      <c r="K43" t="inlineStr">
        <is>
          <t>natalia.gadano@senado.gob.ar</t>
        </is>
      </c>
      <c r="L43" t="inlineStr">
        <is>
          <t>3321 / 3353</t>
        </is>
      </c>
      <c r="Q43" s="12" t="inlineStr">
        <is>
          <t>Banca de la Mujer | De Asuntos Administrativos y Municipales | De Deporte | De Educación y Cultura | De Turismo</t>
        </is>
      </c>
      <c r="R43" t="inlineStr">
        <is>
          <t>Negativo</t>
        </is>
      </c>
      <c r="S43" t="inlineStr">
        <is>
          <t>Negativo</t>
        </is>
      </c>
      <c r="U43" t="inlineStr">
        <is>
          <t>Negativo</t>
        </is>
      </c>
      <c r="V43" t="inlineStr">
        <is>
          <t>NEGATIVO</t>
        </is>
      </c>
      <c r="W43" t="inlineStr">
        <is>
          <t>Negativo</t>
        </is>
      </c>
      <c r="X43" t="inlineStr">
        <is>
          <t>NEGATIVO</t>
        </is>
      </c>
      <c r="AF43" s="17" t="inlineStr">
        <is>
          <t>AFIRMATIVO</t>
        </is>
      </c>
    </row>
    <row r="44" ht="15.75" customHeight="1" thickBot="1">
      <c r="A44">
        <f>_xlfn.CONCAT(C44," ",B44)</f>
        <v/>
      </c>
      <c r="B44" t="inlineStr">
        <is>
          <t>MARÍA FLORENCIA</t>
        </is>
      </c>
      <c r="C44" t="inlineStr">
        <is>
          <t>LÓPEZ</t>
        </is>
      </c>
      <c r="D44" t="inlineStr">
        <is>
          <t>JUSTICIALISTA</t>
        </is>
      </c>
      <c r="E44" t="inlineStr">
        <is>
          <t>LA RIOJA</t>
        </is>
      </c>
      <c r="F44" t="inlineStr">
        <is>
          <t>JUNTOS POR EL CAMBIO</t>
        </is>
      </c>
      <c r="G44" t="inlineStr">
        <is>
          <t>2023-12-10</t>
        </is>
      </c>
      <c r="H44" t="inlineStr">
        <is>
          <t>2027-12-09</t>
        </is>
      </c>
      <c r="I44" t="inlineStr">
        <is>
          <t>2023-12-10</t>
        </is>
      </c>
      <c r="J44" t="inlineStr">
        <is>
          <t>Sin Datos</t>
        </is>
      </c>
      <c r="K44" t="inlineStr">
        <is>
          <t>eduardo.galaretto@senado.gob.ar</t>
        </is>
      </c>
      <c r="L44" t="inlineStr">
        <is>
          <t>3543 / 3544</t>
        </is>
      </c>
      <c r="Q44" s="12" t="inlineStr">
        <is>
          <t>Banca de la Mujer | De Economías Regionales, Economía Social, Micro, Pequeña y Mediana Empresa | De Industria y Comercio</t>
        </is>
      </c>
      <c r="R44" t="inlineStr">
        <is>
          <t>Negativo</t>
        </is>
      </c>
      <c r="S44" t="inlineStr">
        <is>
          <t>Negativo</t>
        </is>
      </c>
      <c r="U44" t="inlineStr">
        <is>
          <t>Negativo</t>
        </is>
      </c>
      <c r="V44" t="inlineStr">
        <is>
          <t>NEGATIVO</t>
        </is>
      </c>
      <c r="W44" t="inlineStr">
        <is>
          <t>Negativo</t>
        </is>
      </c>
      <c r="X44" t="inlineStr">
        <is>
          <t>AFIRMATIVO</t>
        </is>
      </c>
      <c r="AF44" s="17" t="inlineStr">
        <is>
          <t>NEGATIVO</t>
        </is>
      </c>
    </row>
    <row r="45" ht="15.75" customHeight="1" thickBot="1">
      <c r="A45">
        <f>_xlfn.CONCAT(C45," ",B45)</f>
        <v/>
      </c>
      <c r="B45" t="inlineStr">
        <is>
          <t>CAROLINA</t>
        </is>
      </c>
      <c r="C45" t="inlineStr">
        <is>
          <t>LOSADA</t>
        </is>
      </c>
      <c r="D45" t="inlineStr">
        <is>
          <t>UCR - UNIÓN CÍVICA RADICAL</t>
        </is>
      </c>
      <c r="E45" t="inlineStr">
        <is>
          <t>SANTA FE</t>
        </is>
      </c>
      <c r="F45" t="inlineStr">
        <is>
          <t>ALIANZA UNIÓN POR LA PATRIA</t>
        </is>
      </c>
      <c r="G45" t="inlineStr">
        <is>
          <t>2023-12-10</t>
        </is>
      </c>
      <c r="H45" t="inlineStr">
        <is>
          <t>2029-12-09</t>
        </is>
      </c>
      <c r="I45" t="inlineStr">
        <is>
          <t>2023-12-10</t>
        </is>
      </c>
      <c r="J45" t="inlineStr">
        <is>
          <t>Sin Datos</t>
        </is>
      </c>
      <c r="K45" t="inlineStr">
        <is>
          <t>sergio.unac@senado.gob.ar</t>
        </is>
      </c>
      <c r="L45" t="inlineStr">
        <is>
          <t>1433 / 1445 / 8792</t>
        </is>
      </c>
      <c r="M45" t="inlineStr">
        <is>
          <t>https://www.facebook.com/sergio.unac</t>
        </is>
      </c>
      <c r="N45" t="inlineStr">
        <is>
          <t>https://twitter.com/sergiounac/</t>
        </is>
      </c>
      <c r="O45" t="inlineStr">
        <is>
          <t>https://www.instagram.com/sergiounac</t>
        </is>
      </c>
      <c r="Q45" s="12" t="inlineStr">
        <is>
          <t>Bicameral Permanente de Fiscalización de los Órganos y Actividades de Seguridad Interior (Ley 24.059 y Sus Modificatorias Leyes 24.194 y 25.520) | Banca de la Mujer | De Acuerdos | De Defensa Nacional | De Justicia y Asuntos Penales | De Población y Desarrollo Humano | De Relaciones Exteriores y Culto | De Seguridad Interior y Narcotráfico | De Sistemas, Medios de Comunicación y Libertad de Expresión</t>
        </is>
      </c>
      <c r="R45" t="inlineStr">
        <is>
          <t>Afirmativo</t>
        </is>
      </c>
      <c r="S45" t="inlineStr">
        <is>
          <t>Afirmativo</t>
        </is>
      </c>
      <c r="U45" t="inlineStr">
        <is>
          <t>Afirmativo</t>
        </is>
      </c>
      <c r="V45" t="inlineStr">
        <is>
          <t>AFIRMATIVO</t>
        </is>
      </c>
      <c r="W45" t="inlineStr">
        <is>
          <t>Afirmativo</t>
        </is>
      </c>
      <c r="X45" t="inlineStr">
        <is>
          <t>AFIRMATIVO</t>
        </is>
      </c>
      <c r="AF45" s="17" t="inlineStr">
        <is>
          <t>AUSENTE</t>
        </is>
      </c>
    </row>
    <row r="46" ht="15.75" customHeight="1" thickBot="1">
      <c r="A46">
        <f>_xlfn.CONCAT(C46," ",B46)</f>
        <v/>
      </c>
      <c r="B46" t="inlineStr">
        <is>
          <t>JUAN LUIS</t>
        </is>
      </c>
      <c r="C46" t="inlineStr">
        <is>
          <t>MANZUR</t>
        </is>
      </c>
      <c r="D46" t="inlineStr">
        <is>
          <t>JUSTICIALISTA</t>
        </is>
      </c>
      <c r="E46" t="inlineStr">
        <is>
          <t>TUCUMÁN</t>
        </is>
      </c>
      <c r="F46" t="inlineStr">
        <is>
          <t>ALIANZA UNIÓN POR LA PATRIA</t>
        </is>
      </c>
      <c r="G46" t="inlineStr">
        <is>
          <t>2023-12-10</t>
        </is>
      </c>
      <c r="H46" t="inlineStr">
        <is>
          <t>2029-12-09</t>
        </is>
      </c>
      <c r="I46" t="inlineStr">
        <is>
          <t>2023-12-10</t>
        </is>
      </c>
      <c r="J46" t="inlineStr">
        <is>
          <t>Sin Datos</t>
        </is>
      </c>
      <c r="K46" t="inlineStr">
        <is>
          <t>mcgimeneznavarro@senado.gob.ar</t>
        </is>
      </c>
      <c r="L46" t="inlineStr">
        <is>
          <t>8709 / 1340 / 1342 / 1332</t>
        </is>
      </c>
      <c r="Q46" s="12" t="inlineStr">
        <is>
          <t>De Relaciones Exteriores y Culto | De Salud</t>
        </is>
      </c>
      <c r="R46" t="inlineStr">
        <is>
          <t>Negativo</t>
        </is>
      </c>
      <c r="S46" t="inlineStr">
        <is>
          <t>Negativo</t>
        </is>
      </c>
      <c r="U46" t="inlineStr">
        <is>
          <t>Negativo</t>
        </is>
      </c>
      <c r="V46" t="inlineStr">
        <is>
          <t>NEGATIVO</t>
        </is>
      </c>
      <c r="W46" t="inlineStr">
        <is>
          <t>Negativo</t>
        </is>
      </c>
      <c r="X46" t="inlineStr">
        <is>
          <t>AFIRMATIVO</t>
        </is>
      </c>
      <c r="AF46" s="17" t="inlineStr">
        <is>
          <t>NEGATIVO</t>
        </is>
      </c>
    </row>
    <row r="47" ht="15.75" customHeight="1" thickBot="1">
      <c r="A47">
        <f>_xlfn.CONCAT(C47," ",B47)</f>
        <v/>
      </c>
      <c r="B47" t="inlineStr">
        <is>
          <t>ANA INÉS</t>
        </is>
      </c>
      <c r="C47" t="inlineStr">
        <is>
          <t>MARKS</t>
        </is>
      </c>
      <c r="D47" t="inlineStr">
        <is>
          <t>JUSTICIALISTA</t>
        </is>
      </c>
      <c r="E47" t="inlineStr">
        <is>
          <t>RÍO NEGRO</t>
        </is>
      </c>
      <c r="F47" t="inlineStr">
        <is>
          <t>ALIANZA LA LIBERTAD AVANZA</t>
        </is>
      </c>
      <c r="G47" t="inlineStr">
        <is>
          <t>2025-12-10</t>
        </is>
      </c>
      <c r="H47" t="inlineStr">
        <is>
          <t>2031-12-09</t>
        </is>
      </c>
      <c r="I47" t="inlineStr">
        <is>
          <t>2025-12-10</t>
        </is>
      </c>
      <c r="J47" t="inlineStr">
        <is>
          <t>Sin Datos</t>
        </is>
      </c>
      <c r="K47" t="inlineStr">
        <is>
          <t>juancruz.godoy@senado.gob.ar</t>
        </is>
      </c>
      <c r="Q47" s="12" t="inlineStr">
        <is>
          <t>Bicameral Permanente de la Defensoría del Pueblo | Banca de la Mujer | De Economías Regionales, Economía Social, Micro, Pequeña y Mediana Empresa | De Población y Desarrollo Humano | De Turismo</t>
        </is>
      </c>
      <c r="R47" t="inlineStr">
        <is>
          <t>Negativo</t>
        </is>
      </c>
      <c r="S47" t="inlineStr">
        <is>
          <t>Negativo</t>
        </is>
      </c>
      <c r="U47" t="inlineStr">
        <is>
          <t>Negativo</t>
        </is>
      </c>
      <c r="V47" t="inlineStr">
        <is>
          <t>NEGATIVO</t>
        </is>
      </c>
      <c r="W47" t="inlineStr">
        <is>
          <t>Negativo</t>
        </is>
      </c>
      <c r="X47" t="inlineStr">
        <is>
          <t>AFIRMATIVO</t>
        </is>
      </c>
      <c r="AF47" s="17" t="inlineStr">
        <is>
          <t>NEGATIVO</t>
        </is>
      </c>
    </row>
    <row r="48" ht="15.75" customHeight="1" thickBot="1">
      <c r="A48">
        <f>_xlfn.CONCAT(C48," ",B48)</f>
        <v/>
      </c>
      <c r="B48" t="inlineStr">
        <is>
          <t>NADIA JUDITH</t>
        </is>
      </c>
      <c r="C48" t="inlineStr">
        <is>
          <t>MÁRQUEZ</t>
        </is>
      </c>
      <c r="D48" t="inlineStr">
        <is>
          <t>LA LIBERTAD AVANZA</t>
        </is>
      </c>
      <c r="E48" t="inlineStr">
        <is>
          <t>NEUQUÉN</t>
        </is>
      </c>
      <c r="F48" t="inlineStr">
        <is>
          <t>ALIANZA UNIÓN POR LA PATRIA</t>
        </is>
      </c>
      <c r="G48" t="inlineStr">
        <is>
          <t>2023-12-10</t>
        </is>
      </c>
      <c r="H48" t="inlineStr">
        <is>
          <t>2029-12-09</t>
        </is>
      </c>
      <c r="I48" t="inlineStr">
        <is>
          <t>2023-12-10</t>
        </is>
      </c>
      <c r="J48" t="inlineStr">
        <is>
          <t>Sin Datos</t>
        </is>
      </c>
      <c r="K48" t="inlineStr">
        <is>
          <t>maria.moises@senado.gob.ar</t>
        </is>
      </c>
      <c r="L48" t="n">
        <v>3194</v>
      </c>
      <c r="Q48" s="12" t="inlineStr">
        <is>
          <t>Banca de la Mujer | De Ambiente y Desarrollo Sustentable | De Asuntos Constitucionales | De Derechos y Garantías | De Educación y Cultura</t>
        </is>
      </c>
      <c r="R48" t="inlineStr">
        <is>
          <t>Afirmativo</t>
        </is>
      </c>
      <c r="S48" t="inlineStr">
        <is>
          <t>Afirmativo</t>
        </is>
      </c>
      <c r="U48" t="inlineStr">
        <is>
          <t>Afirmativo</t>
        </is>
      </c>
      <c r="V48" t="inlineStr">
        <is>
          <t>AFIRMATIVO</t>
        </is>
      </c>
      <c r="W48" t="inlineStr">
        <is>
          <t>Afirmativo</t>
        </is>
      </c>
      <c r="X48" t="inlineStr">
        <is>
          <t>AFIRMATIVO</t>
        </is>
      </c>
      <c r="AF48" s="17" t="inlineStr">
        <is>
          <t>NEGATIVO</t>
        </is>
      </c>
    </row>
    <row r="49" ht="15.75" customHeight="1" thickBot="1">
      <c r="A49">
        <f>_xlfn.CONCAT(C49," ",B49)</f>
        <v/>
      </c>
      <c r="B49" t="inlineStr">
        <is>
          <t>JOSÉ MIGUEL ÁNGEL</t>
        </is>
      </c>
      <c r="C49" t="inlineStr">
        <is>
          <t>MAYANS</t>
        </is>
      </c>
      <c r="D49" t="inlineStr">
        <is>
          <t>JUSTICIALISTA</t>
        </is>
      </c>
      <c r="E49" t="inlineStr">
        <is>
          <t>FORMOSA</t>
        </is>
      </c>
      <c r="F49" t="inlineStr">
        <is>
          <t>JUNTOS POR EL CAMBIO</t>
        </is>
      </c>
      <c r="G49" t="inlineStr">
        <is>
          <t>2023-12-10</t>
        </is>
      </c>
      <c r="H49" t="inlineStr">
        <is>
          <t>2029-12-09</t>
        </is>
      </c>
      <c r="I49" t="inlineStr">
        <is>
          <t>2023-12-10</t>
        </is>
      </c>
      <c r="J49" t="inlineStr">
        <is>
          <t>Sin Datos</t>
        </is>
      </c>
      <c r="K49" t="inlineStr">
        <is>
          <t>martin.goerling@senado.gob.ar</t>
        </is>
      </c>
      <c r="L49" t="inlineStr">
        <is>
          <t>3126 / 3135</t>
        </is>
      </c>
      <c r="Q49" s="12" t="inlineStr">
        <is>
          <t>Bicameral Permanente Parlamentaria Mixta Revisora de Cuentas | De Coparticipación Federal de Impuestos | De Defensa Nacional | De Economía Nacional e Inversión | De Sistemas, Medios de Comunicación y Libertad de Expresión</t>
        </is>
      </c>
      <c r="R49" t="inlineStr">
        <is>
          <t>Negativo</t>
        </is>
      </c>
      <c r="S49" t="inlineStr">
        <is>
          <t>Negativo</t>
        </is>
      </c>
      <c r="U49" t="inlineStr">
        <is>
          <t>Negativo</t>
        </is>
      </c>
      <c r="V49" t="inlineStr">
        <is>
          <t>NEGATIVO</t>
        </is>
      </c>
      <c r="W49" t="inlineStr">
        <is>
          <t>Negativo</t>
        </is>
      </c>
      <c r="X49" t="inlineStr">
        <is>
          <t>AFIRMATIVO</t>
        </is>
      </c>
      <c r="AF49" s="17" t="inlineStr">
        <is>
          <t>AFIRMATIVO</t>
        </is>
      </c>
    </row>
    <row r="50" ht="15.75" customHeight="1" thickBot="1">
      <c r="A50">
        <f>_xlfn.CONCAT(C50," ",B50)</f>
        <v/>
      </c>
      <c r="B50" t="inlineStr">
        <is>
          <t>SANDRA MARIELA</t>
        </is>
      </c>
      <c r="C50" t="inlineStr">
        <is>
          <t>MENDOZA</t>
        </is>
      </c>
      <c r="D50" t="inlineStr">
        <is>
          <t>CONVICCIÓN FEDERAL</t>
        </is>
      </c>
      <c r="E50" t="inlineStr">
        <is>
          <t>TUCUMÁN</t>
        </is>
      </c>
      <c r="F50" t="inlineStr">
        <is>
          <t>ALIANZA UNIÓN POR LA PATRIA</t>
        </is>
      </c>
      <c r="G50" t="inlineStr">
        <is>
          <t>2023-12-10</t>
        </is>
      </c>
      <c r="H50" t="inlineStr">
        <is>
          <t>2029-12-09</t>
        </is>
      </c>
      <c r="I50" t="inlineStr">
        <is>
          <t>2023-12-10</t>
        </is>
      </c>
      <c r="J50" t="inlineStr">
        <is>
          <t>Sin Datos</t>
        </is>
      </c>
      <c r="K50" t="inlineStr">
        <is>
          <t>maria.gonzalez@senado.gob.ar</t>
        </is>
      </c>
      <c r="L50" t="inlineStr">
        <is>
          <t>1325 /1327</t>
        </is>
      </c>
      <c r="Q50" s="12" t="inlineStr">
        <is>
          <t>Bicameral Permanente de Seguimiento y Control del Ministerio Público de la Nación (Ley 24.946 y Sus Modificatorias Ley 27.148 y 27.149) | Banca de la Mujer | De Acuerdos | De Ambiente y Desarrollo Sustentable | De Asuntos Administrativos y Municipales | De Industria y Comercio | De Infraestructura, Vivienda y Transporte | De Justicia y Asuntos Penales | De Legislación General | De Población y Desarrollo Humano</t>
        </is>
      </c>
      <c r="R50" t="inlineStr">
        <is>
          <t>Afirmativo</t>
        </is>
      </c>
      <c r="S50" t="inlineStr">
        <is>
          <t>Negativo</t>
        </is>
      </c>
      <c r="U50" t="inlineStr">
        <is>
          <t>Negativo</t>
        </is>
      </c>
      <c r="V50" t="inlineStr">
        <is>
          <t>AFIRMATIVO</t>
        </is>
      </c>
      <c r="W50" t="inlineStr">
        <is>
          <t>Afirmativo</t>
        </is>
      </c>
      <c r="X50" t="inlineStr">
        <is>
          <t>AFIRMATIVO</t>
        </is>
      </c>
      <c r="AF50" s="17" t="inlineStr">
        <is>
          <t>AFIRMATIVO</t>
        </is>
      </c>
    </row>
    <row r="51" ht="15.75" customHeight="1" thickBot="1">
      <c r="A51">
        <f>_xlfn.CONCAT(C51," ",B51)</f>
        <v/>
      </c>
      <c r="B51" t="inlineStr">
        <is>
          <t>MARÍA CAROLINA</t>
        </is>
      </c>
      <c r="C51" t="inlineStr">
        <is>
          <t>MOISES</t>
        </is>
      </c>
      <c r="D51" t="inlineStr">
        <is>
          <t>CONVICCIÓN FEDERAL</t>
        </is>
      </c>
      <c r="E51" t="inlineStr">
        <is>
          <t>JUJUY</t>
        </is>
      </c>
      <c r="F51" t="inlineStr">
        <is>
          <t>ALIANZA LA LIBERTAD AVANZA</t>
        </is>
      </c>
      <c r="G51" t="inlineStr">
        <is>
          <t>2023-12-10</t>
        </is>
      </c>
      <c r="H51" t="inlineStr">
        <is>
          <t>2029-12-09</t>
        </is>
      </c>
      <c r="I51" t="inlineStr">
        <is>
          <t>2023-12-10</t>
        </is>
      </c>
      <c r="J51" t="inlineStr">
        <is>
          <t>Sin Datos</t>
        </is>
      </c>
      <c r="K51" t="inlineStr">
        <is>
          <t>bartolome.abdala@senado.gob.ar</t>
        </is>
      </c>
      <c r="L51" t="n">
        <v>1501</v>
      </c>
      <c r="Q51" s="12" t="inlineStr">
        <is>
          <t>Banca de la Mujer | De Asuntos Constitucionales | De Derechos y Garantías | De Educación y Cultura | De Minería, Energía y Combustibles | De Salud | De Trabajo y Previsión Social</t>
        </is>
      </c>
      <c r="R51" t="inlineStr">
        <is>
          <t>Afirmativo</t>
        </is>
      </c>
      <c r="S51" t="inlineStr">
        <is>
          <t>Negativo</t>
        </is>
      </c>
      <c r="U51" t="inlineStr">
        <is>
          <t>Negativo</t>
        </is>
      </c>
      <c r="V51" t="inlineStr">
        <is>
          <t>AFIRMATIVO</t>
        </is>
      </c>
      <c r="W51" t="inlineStr">
        <is>
          <t>Negativo</t>
        </is>
      </c>
      <c r="X51" t="inlineStr">
        <is>
          <t>AFIRMATIVO</t>
        </is>
      </c>
      <c r="AF51" s="17" t="inlineStr">
        <is>
          <t>AFIRMATIVO</t>
        </is>
      </c>
    </row>
    <row r="52" ht="15.75" customHeight="1" thickBot="1">
      <c r="A52">
        <f>_xlfn.CONCAT(C52," ",B52)</f>
        <v/>
      </c>
      <c r="B52" t="inlineStr">
        <is>
          <t>MARÍA BELÉN</t>
        </is>
      </c>
      <c r="C52" t="inlineStr">
        <is>
          <t>MONTE DE OCA</t>
        </is>
      </c>
      <c r="D52" t="inlineStr">
        <is>
          <t>LA LIBERTAD AVANZA</t>
        </is>
      </c>
      <c r="E52" t="inlineStr">
        <is>
          <t>TIERRA DEL FUEGO, ANTÁRTIDA E ISLAS DEL ATLÁNTICO SUR</t>
        </is>
      </c>
      <c r="F52" t="inlineStr">
        <is>
          <t>ALIANZA LA LIBERTAD AVANZA</t>
        </is>
      </c>
      <c r="G52" t="inlineStr">
        <is>
          <t>2025-12-10</t>
        </is>
      </c>
      <c r="H52" t="inlineStr">
        <is>
          <t>2031-12-09</t>
        </is>
      </c>
      <c r="I52" t="inlineStr">
        <is>
          <t>2025-12-10</t>
        </is>
      </c>
      <c r="J52" t="inlineStr">
        <is>
          <t>Sin Datos</t>
        </is>
      </c>
      <c r="K52" t="inlineStr">
        <is>
          <t>belen.montesdeoca@senado.gob.ar</t>
        </is>
      </c>
      <c r="Q52" s="12" t="inlineStr">
        <is>
          <t>Banca de la Mujer | De Acuerdos | De Asuntos Constitucionales | De Defensa Nacional | De Justicia y Asuntos Penales | De Relaciones Exteriores y Culto | De Salud | De Turismo</t>
        </is>
      </c>
      <c r="R52" t="inlineStr">
        <is>
          <t>Afirmativo</t>
        </is>
      </c>
      <c r="S52" t="inlineStr">
        <is>
          <t>Afirmativo</t>
        </is>
      </c>
      <c r="U52" t="inlineStr">
        <is>
          <t>Afirmativo</t>
        </is>
      </c>
      <c r="V52" t="inlineStr">
        <is>
          <t>AFIRMATIVO</t>
        </is>
      </c>
      <c r="W52" t="inlineStr">
        <is>
          <t>Afirmativo</t>
        </is>
      </c>
      <c r="X52" t="inlineStr">
        <is>
          <t>AFIRMATIVO</t>
        </is>
      </c>
      <c r="AF52" s="17" t="inlineStr">
        <is>
          <t>AFIRMATIVO</t>
        </is>
      </c>
    </row>
    <row r="53" ht="15.75" customHeight="1" thickBot="1">
      <c r="A53">
        <f>_xlfn.CONCAT(C53," ",B53)</f>
        <v/>
      </c>
      <c r="B53" t="inlineStr">
        <is>
          <t>AGUSTÍN ANÍBAL</t>
        </is>
      </c>
      <c r="C53" t="inlineStr">
        <is>
          <t>MONTEVERDE</t>
        </is>
      </c>
      <c r="D53" t="inlineStr">
        <is>
          <t>LA LIBERTAD AVANZA</t>
        </is>
      </c>
      <c r="E53" t="inlineStr">
        <is>
          <t>CIUDAD AUTÓNOMA DE BUENOS AIRES</t>
        </is>
      </c>
      <c r="F53" t="inlineStr">
        <is>
          <t>ALIANZA LA LIBERTAD AVANZA</t>
        </is>
      </c>
      <c r="G53" t="inlineStr">
        <is>
          <t>2025-12-10</t>
        </is>
      </c>
      <c r="H53" t="inlineStr">
        <is>
          <t>2031-12-09</t>
        </is>
      </c>
      <c r="I53" t="inlineStr">
        <is>
          <t>2025-12-10</t>
        </is>
      </c>
      <c r="J53" t="inlineStr">
        <is>
          <t>Sin Datos</t>
        </is>
      </c>
      <c r="K53" t="inlineStr">
        <is>
          <t>agustin.monteverde@senado.gob.ar</t>
        </is>
      </c>
      <c r="Q53" s="12" t="inlineStr">
        <is>
          <t>De Coparticipación Federal de Impuestos | De Defensa Nacional | De Derechos y Garantías | De Economía Nacional e Inversión | De Presupuesto y Hacienda | De Relaciones Exteriores y Culto</t>
        </is>
      </c>
      <c r="R53" t="inlineStr">
        <is>
          <t>Afirmativo</t>
        </is>
      </c>
      <c r="S53" t="inlineStr">
        <is>
          <t>Afirmativo</t>
        </is>
      </c>
      <c r="U53" t="inlineStr">
        <is>
          <t>Afirmativo</t>
        </is>
      </c>
      <c r="V53" t="inlineStr">
        <is>
          <t>AFIRMATIVO</t>
        </is>
      </c>
      <c r="W53" t="inlineStr">
        <is>
          <t>Afirmativo</t>
        </is>
      </c>
      <c r="X53" t="inlineStr">
        <is>
          <t>AFIRMATIVO</t>
        </is>
      </c>
      <c r="AF53" s="17" t="inlineStr">
        <is>
          <t>NEGATIVO</t>
        </is>
      </c>
    </row>
    <row r="54" ht="15.75" customHeight="1" thickBot="1">
      <c r="A54">
        <f>_xlfn.CONCAT(C54," ",B54)</f>
        <v/>
      </c>
      <c r="B54" t="inlineStr">
        <is>
          <t>ELIA ESTHER DEL CARMEN</t>
        </is>
      </c>
      <c r="C54" t="inlineStr">
        <is>
          <t>MORENO</t>
        </is>
      </c>
      <c r="D54" t="inlineStr">
        <is>
          <t>FRENTE CÍVICO POR SANTIAGO</t>
        </is>
      </c>
      <c r="E54" t="inlineStr">
        <is>
          <t>SANTIAGO DEL ESTERO</t>
        </is>
      </c>
      <c r="F54" t="inlineStr">
        <is>
          <t>ALIANZA LA LIBERTAD AVANZA</t>
        </is>
      </c>
      <c r="G54" t="inlineStr">
        <is>
          <t>2023-12-10</t>
        </is>
      </c>
      <c r="H54" t="inlineStr">
        <is>
          <t>2029-12-09</t>
        </is>
      </c>
      <c r="I54" t="inlineStr">
        <is>
          <t>2023-12-10</t>
        </is>
      </c>
      <c r="J54" t="inlineStr">
        <is>
          <t>Sin Datos</t>
        </is>
      </c>
      <c r="K54" t="inlineStr">
        <is>
          <t>ivanna.arrascaeta@senado.gob.ar</t>
        </is>
      </c>
      <c r="L54" t="inlineStr">
        <is>
          <t>3235 / 3286 / 3288</t>
        </is>
      </c>
      <c r="Q54" s="12" t="inlineStr">
        <is>
          <t>Banca de la Mujer | De Deporte | De Salud | De Sistemas, Medios de Comunicación y Libertad de Expresión</t>
        </is>
      </c>
      <c r="R54" t="inlineStr">
        <is>
          <t>Negativo</t>
        </is>
      </c>
      <c r="S54" t="inlineStr">
        <is>
          <t>Negativo</t>
        </is>
      </c>
      <c r="U54" t="inlineStr">
        <is>
          <t>Negativo</t>
        </is>
      </c>
      <c r="V54" t="inlineStr">
        <is>
          <t>NEGATIVO</t>
        </is>
      </c>
      <c r="W54" t="inlineStr">
        <is>
          <t>Negativo</t>
        </is>
      </c>
      <c r="X54" t="inlineStr">
        <is>
          <t>AFIRMATIVO</t>
        </is>
      </c>
      <c r="AF54" s="17" t="inlineStr">
        <is>
          <t>AFIRMATIVO</t>
        </is>
      </c>
    </row>
    <row r="55" ht="15.75" customHeight="1" thickBot="1">
      <c r="A55">
        <f>_xlfn.CONCAT(C55," ",B55)</f>
        <v/>
      </c>
      <c r="B55" t="inlineStr">
        <is>
          <t>JOSÉ EMILIO</t>
        </is>
      </c>
      <c r="C55" t="inlineStr">
        <is>
          <t>NEDER</t>
        </is>
      </c>
      <c r="D55" t="inlineStr">
        <is>
          <t>JUSTICIALISTA</t>
        </is>
      </c>
      <c r="E55" t="inlineStr">
        <is>
          <t>SANTIAGO DEL ESTERO</t>
        </is>
      </c>
      <c r="F55" t="inlineStr">
        <is>
          <t>ALIANZA LA LIBERTAD AVANZA</t>
        </is>
      </c>
      <c r="G55" t="inlineStr">
        <is>
          <t>2025-12-10</t>
        </is>
      </c>
      <c r="H55" t="inlineStr">
        <is>
          <t>2031-12-09</t>
        </is>
      </c>
      <c r="I55" t="inlineStr">
        <is>
          <t>2025-12-10</t>
        </is>
      </c>
      <c r="J55" t="inlineStr">
        <is>
          <t>Sin Datos</t>
        </is>
      </c>
      <c r="K55" t="inlineStr">
        <is>
          <t>gonzalo.guzman@senado.gob.ar</t>
        </is>
      </c>
      <c r="Q55" s="12" t="inlineStr">
        <is>
          <t>De Asuntos Administrativos y Municipales | De Defensa Nacional | De Infraestructura, Vivienda y Transporte | De Sistemas, Medios de Comunicación y Libertad de Expresión</t>
        </is>
      </c>
      <c r="R55" t="inlineStr">
        <is>
          <t>Negativo</t>
        </is>
      </c>
      <c r="S55" t="inlineStr">
        <is>
          <t>Negativo</t>
        </is>
      </c>
      <c r="U55" t="inlineStr">
        <is>
          <t>Negativo</t>
        </is>
      </c>
      <c r="V55" t="inlineStr">
        <is>
          <t>NEGATIVO</t>
        </is>
      </c>
      <c r="W55" t="inlineStr">
        <is>
          <t>Negativo</t>
        </is>
      </c>
      <c r="X55" t="inlineStr">
        <is>
          <t>AFIRMATIVO</t>
        </is>
      </c>
      <c r="AF55" s="17" t="inlineStr">
        <is>
          <t>NEGATIVO</t>
        </is>
      </c>
    </row>
    <row r="56" ht="15.75" customHeight="1" thickBot="1">
      <c r="A56">
        <f>_xlfn.CONCAT(C56," ",B56)</f>
        <v/>
      </c>
      <c r="B56" t="inlineStr">
        <is>
          <t>BRUNO ANTONIO</t>
        </is>
      </c>
      <c r="C56" t="inlineStr">
        <is>
          <t>OLIVERA LUCERO</t>
        </is>
      </c>
      <c r="D56" t="inlineStr">
        <is>
          <t>LA LIBERTAD AVANZA</t>
        </is>
      </c>
      <c r="E56" t="inlineStr">
        <is>
          <t>SAN JUAN</t>
        </is>
      </c>
      <c r="F56" t="inlineStr">
        <is>
          <t>FRENTE CÍVICO POR SANTIAGO</t>
        </is>
      </c>
      <c r="G56" t="inlineStr">
        <is>
          <t>2025-12-10</t>
        </is>
      </c>
      <c r="H56" t="inlineStr">
        <is>
          <t>2031-12-09</t>
        </is>
      </c>
      <c r="I56" t="inlineStr">
        <is>
          <t>2025-12-10</t>
        </is>
      </c>
      <c r="J56" t="inlineStr">
        <is>
          <t>Sin Datos</t>
        </is>
      </c>
      <c r="K56" t="inlineStr">
        <is>
          <t>elia.moreno@senado.gob.ar</t>
        </is>
      </c>
      <c r="Q56" s="12" t="inlineStr">
        <is>
          <t>Bicameral de Control de los Fondos de la Seguridad Social (Ley 26.425) | Bicameral Permanente Parlamentaria Mixta Revisora de Cuentas | De Asuntos Administrativos y Municipales | De Defensa Nacional | De Deporte | De Minería, Energía y Combustibles | De Trabajo y Previsión Social</t>
        </is>
      </c>
      <c r="R56" t="inlineStr">
        <is>
          <t>Afirmativo</t>
        </is>
      </c>
      <c r="S56" t="inlineStr">
        <is>
          <t>Afirmativo</t>
        </is>
      </c>
      <c r="U56" t="inlineStr">
        <is>
          <t>Afirmativo</t>
        </is>
      </c>
      <c r="V56" t="inlineStr">
        <is>
          <t>AFIRMATIVO</t>
        </is>
      </c>
      <c r="W56" t="inlineStr">
        <is>
          <t>Afirmativo</t>
        </is>
      </c>
      <c r="X56" t="inlineStr">
        <is>
          <t>AFIRMATIVO</t>
        </is>
      </c>
      <c r="AF56" s="17" t="inlineStr">
        <is>
          <t>AFIRMATIVO</t>
        </is>
      </c>
    </row>
    <row r="57" ht="15.75" customHeight="1" thickBot="1">
      <c r="A57">
        <f>_xlfn.CONCAT(C57," ",B57)</f>
        <v/>
      </c>
      <c r="B57" t="inlineStr">
        <is>
          <t>MARÍA EMILIA</t>
        </is>
      </c>
      <c r="C57" t="inlineStr">
        <is>
          <t>OROZCO</t>
        </is>
      </c>
      <c r="D57" t="inlineStr">
        <is>
          <t>LA LIBERTAD AVANZA</t>
        </is>
      </c>
      <c r="E57" t="inlineStr">
        <is>
          <t>SALTA</t>
        </is>
      </c>
      <c r="F57" t="inlineStr">
        <is>
          <t>FRENTE FUERZA PATRIA PERONISTA</t>
        </is>
      </c>
      <c r="G57" t="inlineStr">
        <is>
          <t>2025-12-10</t>
        </is>
      </c>
      <c r="H57" t="inlineStr">
        <is>
          <t>2031-12-09</t>
        </is>
      </c>
      <c r="I57" t="inlineStr">
        <is>
          <t>2025-12-10</t>
        </is>
      </c>
      <c r="J57" t="inlineStr">
        <is>
          <t>Sin Datos</t>
        </is>
      </c>
      <c r="K57" t="inlineStr">
        <is>
          <t>jose.neder@senado.gob.ar</t>
        </is>
      </c>
      <c r="Q57" s="12" t="inlineStr">
        <is>
          <t>Bicameral Permanente de Fiscalización de los Órganos y Actividades de Seguridad Interior (Ley 24.059 y Sus Modificatorias Leyes 24.194 y 25.520) | Banca de la Mujer | De Agricultura, Ganadería y Pesca | De Ciencia y Tecnología | De Economías Regionales, Economía Social, Micro, Pequeña y Mediana Empresa | De Población y Desarrollo Humano | De Seguridad Interior y Narcotráfico | De Turismo</t>
        </is>
      </c>
      <c r="R57" t="inlineStr">
        <is>
          <t>Afirmativo</t>
        </is>
      </c>
      <c r="S57" t="inlineStr">
        <is>
          <t>Afirmativo</t>
        </is>
      </c>
      <c r="U57" t="inlineStr">
        <is>
          <t>Afirmativo</t>
        </is>
      </c>
      <c r="V57" t="inlineStr">
        <is>
          <t>AFIRMATIVO</t>
        </is>
      </c>
      <c r="W57" t="inlineStr">
        <is>
          <t>Afirmativo</t>
        </is>
      </c>
      <c r="X57" t="inlineStr">
        <is>
          <t>AFIRMATIVO</t>
        </is>
      </c>
      <c r="AF57" s="17" t="inlineStr">
        <is>
          <t>AFIRMATIVO</t>
        </is>
      </c>
    </row>
    <row r="58" ht="15.75" customHeight="1" thickBot="1">
      <c r="A58">
        <f>_xlfn.CONCAT(C58," ",B58)</f>
        <v/>
      </c>
      <c r="B58" t="inlineStr">
        <is>
          <t>JUAN CARLOS</t>
        </is>
      </c>
      <c r="C58" t="inlineStr">
        <is>
          <t>PAGOTTO</t>
        </is>
      </c>
      <c r="D58" t="inlineStr">
        <is>
          <t>LA LIBERTAD AVANZA</t>
        </is>
      </c>
      <c r="E58" t="inlineStr">
        <is>
          <t>LA RIOJA</t>
        </is>
      </c>
      <c r="F58" t="inlineStr">
        <is>
          <t>ALIANZA LA LIBERTAD AVANZA</t>
        </is>
      </c>
      <c r="G58" t="inlineStr">
        <is>
          <t>2023-12-10</t>
        </is>
      </c>
      <c r="H58" t="inlineStr">
        <is>
          <t>2029-12-09</t>
        </is>
      </c>
      <c r="I58" t="inlineStr">
        <is>
          <t>2023-12-10</t>
        </is>
      </c>
      <c r="J58" t="inlineStr">
        <is>
          <t>Sin Datos</t>
        </is>
      </c>
      <c r="K58" t="inlineStr">
        <is>
          <t>bruno.olivera@senado.gob.ar</t>
        </is>
      </c>
      <c r="L58" t="n">
        <v>3436</v>
      </c>
      <c r="N58" t="inlineStr">
        <is>
          <t>https://x.com/brunooliverasj</t>
        </is>
      </c>
      <c r="O58" t="inlineStr">
        <is>
          <t>https://www.instagram.com/bruno.olivera.ok</t>
        </is>
      </c>
      <c r="Q58" s="12" t="inlineStr">
        <is>
          <t>De Acuerdos | De Asuntos Constitucionales | De Defensa Nacional | De Derechos y Garantías | De Justicia y Asuntos Penales | De Seguridad Interior y Narcotráfico</t>
        </is>
      </c>
      <c r="R58" t="inlineStr">
        <is>
          <t>Afirmativo</t>
        </is>
      </c>
      <c r="S58" t="inlineStr">
        <is>
          <t>Afirmativo</t>
        </is>
      </c>
      <c r="U58" t="inlineStr">
        <is>
          <t>Afirmativo</t>
        </is>
      </c>
      <c r="V58" t="inlineStr">
        <is>
          <t>AFIRMATIVO</t>
        </is>
      </c>
      <c r="W58" t="inlineStr">
        <is>
          <t>Afirmativo</t>
        </is>
      </c>
      <c r="X58" t="inlineStr">
        <is>
          <t>AFIRMATIVO</t>
        </is>
      </c>
      <c r="AF58" s="17" t="inlineStr">
        <is>
          <t>AFIRMATIVO</t>
        </is>
      </c>
    </row>
    <row r="59" ht="15.75" customHeight="1" thickBot="1">
      <c r="A59">
        <f>_xlfn.CONCAT(C59," ",B59)</f>
        <v/>
      </c>
      <c r="B59" t="inlineStr">
        <is>
          <t>FRANCISCO MANUEL</t>
        </is>
      </c>
      <c r="C59" t="inlineStr">
        <is>
          <t>PAOLTRONI</t>
        </is>
      </c>
      <c r="D59" t="inlineStr">
        <is>
          <t>LA LIBERTAD AVANZA</t>
        </is>
      </c>
      <c r="E59" t="inlineStr">
        <is>
          <t>FORMOSA</t>
        </is>
      </c>
      <c r="F59" t="inlineStr">
        <is>
          <t>ALIANZA LA LIBERTAD AVANZA</t>
        </is>
      </c>
      <c r="G59" t="inlineStr">
        <is>
          <t>2025-12-10</t>
        </is>
      </c>
      <c r="H59" t="inlineStr">
        <is>
          <t>2031-12-09</t>
        </is>
      </c>
      <c r="I59" t="inlineStr">
        <is>
          <t>2025-12-10</t>
        </is>
      </c>
      <c r="J59" t="inlineStr">
        <is>
          <t>Sin Datos</t>
        </is>
      </c>
      <c r="K59" t="inlineStr">
        <is>
          <t>maria.orozco@senado.gob.ar</t>
        </is>
      </c>
      <c r="Q59" s="12" t="inlineStr">
        <is>
          <t>De Agricultura, Ganadería y Pesca | De Coparticipación Federal de Impuestos | De Deporte | De Infraestructura, Vivienda y Transporte | De Relaciones Exteriores y Culto | De Salud | De Seguridad Interior y Narcotráfico</t>
        </is>
      </c>
      <c r="R59" t="inlineStr">
        <is>
          <t>Afirmativo</t>
        </is>
      </c>
      <c r="S59" t="inlineStr">
        <is>
          <t>Afirmativo</t>
        </is>
      </c>
      <c r="U59" t="inlineStr">
        <is>
          <t>Afirmativo</t>
        </is>
      </c>
      <c r="V59" t="inlineStr">
        <is>
          <t>AFIRMATIVO</t>
        </is>
      </c>
      <c r="W59" t="inlineStr">
        <is>
          <t>Afirmativo</t>
        </is>
      </c>
      <c r="X59" t="inlineStr">
        <is>
          <t>AFIRMATIVO</t>
        </is>
      </c>
      <c r="AF59" s="17" t="inlineStr">
        <is>
          <t>AFIRMATIVO</t>
        </is>
      </c>
    </row>
    <row r="60" ht="15.75" customHeight="1" thickBot="1">
      <c r="A60">
        <f>_xlfn.CONCAT(C60," ",B60)</f>
        <v/>
      </c>
      <c r="B60" t="inlineStr">
        <is>
          <t>MARIANO</t>
        </is>
      </c>
      <c r="C60" t="inlineStr">
        <is>
          <t>RECALDE</t>
        </is>
      </c>
      <c r="D60" t="inlineStr">
        <is>
          <t>JUSTICIALISTA</t>
        </is>
      </c>
      <c r="E60" t="inlineStr">
        <is>
          <t>CIUDAD AUTÓNOMA DE BUENOS AIRES</t>
        </is>
      </c>
      <c r="F60" t="inlineStr">
        <is>
          <t>JUNTOS POR EL CAMBIO</t>
        </is>
      </c>
      <c r="G60" t="inlineStr">
        <is>
          <t>2021-12-10</t>
        </is>
      </c>
      <c r="H60" t="inlineStr">
        <is>
          <t>2027-12-09</t>
        </is>
      </c>
      <c r="I60" t="inlineStr">
        <is>
          <t>2021-12-10</t>
        </is>
      </c>
      <c r="J60" t="inlineStr">
        <is>
          <t>Sin Datos</t>
        </is>
      </c>
      <c r="K60" t="inlineStr">
        <is>
          <t>victoria.huala@senado.gob.ar</t>
        </is>
      </c>
      <c r="L60" t="inlineStr">
        <is>
          <t>8340 / 3471</t>
        </is>
      </c>
      <c r="Q60" s="12" t="inlineStr">
        <is>
          <t>Bicameral de Reforma del Estado y del Seguimiento de las Privatizaciones (Ley 23.696) | Bicameral Permanente Parlamentaria Mixta Revisora de Cuentas | De Derechos y Garantías | De Economía Nacional e Inversión | De Infraestructura, Vivienda y Transporte | De Legislación General | De Turismo</t>
        </is>
      </c>
      <c r="R60" t="inlineStr">
        <is>
          <t>Negativo</t>
        </is>
      </c>
      <c r="S60" t="inlineStr">
        <is>
          <t>Negativo</t>
        </is>
      </c>
      <c r="U60" t="inlineStr">
        <is>
          <t>Negativo</t>
        </is>
      </c>
      <c r="V60" t="inlineStr">
        <is>
          <t>NEGATIVO</t>
        </is>
      </c>
      <c r="W60" t="inlineStr">
        <is>
          <t>Negativo</t>
        </is>
      </c>
      <c r="X60" t="inlineStr">
        <is>
          <t>AFIRMATIVO</t>
        </is>
      </c>
      <c r="AF60" s="17" t="inlineStr">
        <is>
          <t>AUSENTE</t>
        </is>
      </c>
    </row>
    <row r="61" ht="15.75" customHeight="1" thickBot="1">
      <c r="A61">
        <f>_xlfn.CONCAT(C61," ",B61)</f>
        <v/>
      </c>
      <c r="B61" t="inlineStr">
        <is>
          <t>JESÚS FERNANDO</t>
        </is>
      </c>
      <c r="C61" t="inlineStr">
        <is>
          <t>REJAL</t>
        </is>
      </c>
      <c r="D61" t="inlineStr">
        <is>
          <t>JUSTICIA SOCIAL FEDERAL</t>
        </is>
      </c>
      <c r="E61" t="inlineStr">
        <is>
          <t>LA RIOJA</t>
        </is>
      </c>
      <c r="F61" t="inlineStr">
        <is>
          <t>ALIANZA LA LIBERTAD AVANZA</t>
        </is>
      </c>
      <c r="G61" t="inlineStr">
        <is>
          <t>2025-12-10</t>
        </is>
      </c>
      <c r="H61" t="inlineStr">
        <is>
          <t>2031-12-09</t>
        </is>
      </c>
      <c r="I61" t="inlineStr">
        <is>
          <t>2025-12-10</t>
        </is>
      </c>
      <c r="J61" t="inlineStr">
        <is>
          <t>Sin Datos</t>
        </is>
      </c>
      <c r="K61" t="inlineStr">
        <is>
          <t>romina.almeida@senado.gob.ar</t>
        </is>
      </c>
      <c r="Q61" s="12" t="inlineStr">
        <is>
          <t>De Asuntos Administrativos y Municipales | De Economía Nacional e Inversión | De Legislación General</t>
        </is>
      </c>
      <c r="R61" t="inlineStr">
        <is>
          <t>Negativo</t>
        </is>
      </c>
      <c r="S61" t="inlineStr">
        <is>
          <t>Negativo</t>
        </is>
      </c>
      <c r="U61" t="inlineStr">
        <is>
          <t>Negativo</t>
        </is>
      </c>
      <c r="V61" t="inlineStr">
        <is>
          <t>NEGATIVO</t>
        </is>
      </c>
      <c r="W61" t="inlineStr">
        <is>
          <t>Negativo</t>
        </is>
      </c>
      <c r="X61" t="inlineStr">
        <is>
          <t>AFIRMATIVO</t>
        </is>
      </c>
      <c r="AF61" s="17" t="inlineStr">
        <is>
          <t>NEGATIVO</t>
        </is>
      </c>
    </row>
    <row r="62" ht="15.75" customHeight="1" thickBot="1">
      <c r="A62">
        <f>_xlfn.CONCAT(C62," ",B62)</f>
        <v/>
      </c>
      <c r="B62" t="inlineStr">
        <is>
          <t>SONIA ELIZABETH</t>
        </is>
      </c>
      <c r="C62" t="inlineStr">
        <is>
          <t>ROJAS DECUT</t>
        </is>
      </c>
      <c r="D62" t="inlineStr">
        <is>
          <t>ENCUENTRO MISIONERO</t>
        </is>
      </c>
      <c r="E62" t="inlineStr">
        <is>
          <t>MISIONES</t>
        </is>
      </c>
      <c r="F62" t="inlineStr">
        <is>
          <t>FRENTE DE TODOS</t>
        </is>
      </c>
      <c r="G62" t="inlineStr">
        <is>
          <t>2021-12-10</t>
        </is>
      </c>
      <c r="H62" t="inlineStr">
        <is>
          <t>2027-12-09</t>
        </is>
      </c>
      <c r="I62" t="inlineStr">
        <is>
          <t>2021-12-10</t>
        </is>
      </c>
      <c r="J62" t="inlineStr">
        <is>
          <t>Sin Datos</t>
        </is>
      </c>
      <c r="K62" t="inlineStr">
        <is>
          <t>daniel.bensusan@senado.gob.ar</t>
        </is>
      </c>
      <c r="L62" t="inlineStr">
        <is>
          <t>1305 / 1307 / 1310</t>
        </is>
      </c>
      <c r="M62" t="inlineStr">
        <is>
          <t>https://www.facebook.com/dpbensusan</t>
        </is>
      </c>
      <c r="N62" t="inlineStr">
        <is>
          <t>https://twitter.com/palibensusan?s=11</t>
        </is>
      </c>
      <c r="O62" t="inlineStr">
        <is>
          <t>https://www.instagram.com/palibensusan/</t>
        </is>
      </c>
      <c r="P62" t="inlineStr">
        <is>
          <t>https://youtube.com/channel/UCVGEIDtt26DtcpADWXGLkDg</t>
        </is>
      </c>
      <c r="Q62" s="12" t="inlineStr">
        <is>
          <t>Banca de la Mujer | De Ambiente y Desarrollo Sustentable | De Asuntos Administrativos y Municipales | De Ciencia y Tecnología | De Educación y Cultura | De Relaciones Exteriores y Culto | De Trabajo y Previsión Social</t>
        </is>
      </c>
      <c r="R62" t="inlineStr">
        <is>
          <t>Afirmativo</t>
        </is>
      </c>
      <c r="S62" t="inlineStr">
        <is>
          <t>Afirmativo</t>
        </is>
      </c>
      <c r="U62" t="inlineStr">
        <is>
          <t>Afirmativo</t>
        </is>
      </c>
      <c r="V62" t="inlineStr">
        <is>
          <t>AFIRMATIVO</t>
        </is>
      </c>
      <c r="W62" t="inlineStr">
        <is>
          <t>Afirmativo</t>
        </is>
      </c>
      <c r="X62" t="inlineStr">
        <is>
          <t>AFIRMATIVO</t>
        </is>
      </c>
      <c r="AF62" s="17" t="inlineStr">
        <is>
          <t>AFIRMATIVO</t>
        </is>
      </c>
    </row>
    <row r="63" ht="15.75" customHeight="1" thickBot="1">
      <c r="A63">
        <f>_xlfn.CONCAT(C63," ",B63)</f>
        <v/>
      </c>
      <c r="B63" t="inlineStr">
        <is>
          <t>FLAVIA GABRIELA</t>
        </is>
      </c>
      <c r="C63" t="inlineStr">
        <is>
          <t>ROYÓN</t>
        </is>
      </c>
      <c r="D63" t="inlineStr">
        <is>
          <t>PRIMERO LOS SALTEÑOS</t>
        </is>
      </c>
      <c r="E63" t="inlineStr">
        <is>
          <t>SALTA</t>
        </is>
      </c>
      <c r="F63" t="inlineStr">
        <is>
          <t>ALIANZA UNIÓN POR LA PATRIA</t>
        </is>
      </c>
      <c r="G63" t="inlineStr">
        <is>
          <t>2023-12-10</t>
        </is>
      </c>
      <c r="H63" t="inlineStr">
        <is>
          <t>2029-12-09</t>
        </is>
      </c>
      <c r="I63" t="inlineStr">
        <is>
          <t>2023-12-10</t>
        </is>
      </c>
      <c r="J63" t="inlineStr">
        <is>
          <t>Sin Datos</t>
        </is>
      </c>
      <c r="K63" t="inlineStr">
        <is>
          <t>jesus.rejal@senado.gob.ar</t>
        </is>
      </c>
      <c r="L63" t="inlineStr">
        <is>
          <t>1011 / 1013</t>
        </is>
      </c>
      <c r="M63" t="inlineStr">
        <is>
          <t>https://www.facebook.com/frejal?locale=es_LA</t>
        </is>
      </c>
      <c r="N63" t="inlineStr">
        <is>
          <t>https://twitter.com/jfrejal</t>
        </is>
      </c>
      <c r="O63" t="inlineStr">
        <is>
          <t>https://www.instagram.com/fernandorejal/</t>
        </is>
      </c>
      <c r="Q63" s="12" t="inlineStr">
        <is>
          <t>Banca de la Mujer | De Acuerdos | De Ambiente y Desarrollo Sustentable | De Coparticipación Federal de Impuestos | De Minería, Energía y Combustibles | De Trabajo y Previsión Social</t>
        </is>
      </c>
      <c r="R63" t="inlineStr">
        <is>
          <t>Afirmativo</t>
        </is>
      </c>
      <c r="S63" t="inlineStr">
        <is>
          <t>Afirmativo</t>
        </is>
      </c>
      <c r="U63" t="inlineStr">
        <is>
          <t>Afirmativo</t>
        </is>
      </c>
      <c r="V63" t="inlineStr">
        <is>
          <t>AFIRMATIVO</t>
        </is>
      </c>
      <c r="W63" t="inlineStr">
        <is>
          <t>Afirmativo</t>
        </is>
      </c>
      <c r="X63" t="inlineStr">
        <is>
          <t>AFIRMATIVO</t>
        </is>
      </c>
      <c r="AF63" s="17" t="inlineStr">
        <is>
          <t>AFIRMATIVO</t>
        </is>
      </c>
    </row>
    <row r="64" ht="15.75" customHeight="1" thickBot="1">
      <c r="A64">
        <f>_xlfn.CONCAT(C64," ",B64)</f>
        <v/>
      </c>
      <c r="B64" t="inlineStr">
        <is>
          <t>FERNANDO ALDO</t>
        </is>
      </c>
      <c r="C64" t="inlineStr">
        <is>
          <t>SALINO</t>
        </is>
      </c>
      <c r="D64" t="inlineStr">
        <is>
          <t>JUSTICIA SOCIAL FEDERAL</t>
        </is>
      </c>
      <c r="E64" t="inlineStr">
        <is>
          <t>SAN LUIS</t>
        </is>
      </c>
      <c r="F64" t="inlineStr">
        <is>
          <t>JUNTOS POR EL CAMBIO</t>
        </is>
      </c>
      <c r="G64" t="inlineStr">
        <is>
          <t>2021-12-10</t>
        </is>
      </c>
      <c r="H64" t="inlineStr">
        <is>
          <t>2027-12-09</t>
        </is>
      </c>
      <c r="I64" t="inlineStr">
        <is>
          <t>2021-12-10</t>
        </is>
      </c>
      <c r="J64" t="inlineStr">
        <is>
          <t>Sin Datos</t>
        </is>
      </c>
      <c r="K64" t="inlineStr">
        <is>
          <t>carmen.alvarez@senado.gob.ar</t>
        </is>
      </c>
      <c r="L64" t="inlineStr">
        <is>
          <t>1393 / 1383</t>
        </is>
      </c>
      <c r="M64" t="inlineStr">
        <is>
          <t>https://www.facebook.com/CarmenAlvarezRiveroOficial</t>
        </is>
      </c>
      <c r="N64" t="inlineStr">
        <is>
          <t>https://twitter.com/CarmenAlvarezR</t>
        </is>
      </c>
      <c r="O64" t="inlineStr">
        <is>
          <t>https://www.instagram.com/carmenalvarezrivero</t>
        </is>
      </c>
      <c r="Q64" s="12" t="inlineStr">
        <is>
          <t>Bicameral Permanente de Promoción y Seguimiento de la Comunicación Audiovisual, las Tecnologías de las Telecomunicaciones y la Digitalización (Ley 26.522,Y Sus Modificatorias 27.078 y Dnu 267/15) | De Ciencia y Tecnología | De Deporte | De Educación y Cultura | De Industria y Comercio | De Sistemas, Medios de Comunicación y Libertad de Expresión</t>
        </is>
      </c>
      <c r="R64" t="inlineStr">
        <is>
          <t>Negativo</t>
        </is>
      </c>
      <c r="S64" t="inlineStr">
        <is>
          <t>Negativo</t>
        </is>
      </c>
      <c r="U64" t="inlineStr">
        <is>
          <t>Negativo</t>
        </is>
      </c>
      <c r="V64" t="inlineStr">
        <is>
          <t>NEGATIVO</t>
        </is>
      </c>
      <c r="W64" t="inlineStr">
        <is>
          <t>Negativo</t>
        </is>
      </c>
      <c r="X64" t="inlineStr">
        <is>
          <t>AFIRMATIVO</t>
        </is>
      </c>
      <c r="AF64" s="17" t="inlineStr">
        <is>
          <t>NEGATIVO</t>
        </is>
      </c>
    </row>
    <row r="65" ht="15.75" customHeight="1" thickBot="1">
      <c r="A65">
        <f>_xlfn.CONCAT(C65," ",B65)</f>
        <v/>
      </c>
      <c r="B65" t="inlineStr">
        <is>
          <t>SILVANA LORENA</t>
        </is>
      </c>
      <c r="C65" t="inlineStr">
        <is>
          <t>SCHNEIDER</t>
        </is>
      </c>
      <c r="D65" t="inlineStr">
        <is>
          <t>UCR - UNIÓN CÍVICA RADICAL</t>
        </is>
      </c>
      <c r="E65" t="inlineStr">
        <is>
          <t>CHACO</t>
        </is>
      </c>
      <c r="F65" t="inlineStr">
        <is>
          <t>ECO + VAMOS CORRIENTES</t>
        </is>
      </c>
      <c r="G65" t="inlineStr">
        <is>
          <t>2021-12-10</t>
        </is>
      </c>
      <c r="H65" t="inlineStr">
        <is>
          <t>2027-12-09</t>
        </is>
      </c>
      <c r="I65" t="inlineStr">
        <is>
          <t>2021-12-10</t>
        </is>
      </c>
      <c r="J65" t="inlineStr">
        <is>
          <t>Sin Datos</t>
        </is>
      </c>
      <c r="K65" t="inlineStr">
        <is>
          <t>mercedes.valenzuela@senado.gob.ar</t>
        </is>
      </c>
      <c r="L65" t="inlineStr">
        <is>
          <t>3400 / 3402 / 3405</t>
        </is>
      </c>
      <c r="M65" t="inlineStr">
        <is>
          <t>https://www.facebook.com/gabivalenzuela.ok</t>
        </is>
      </c>
      <c r="N65" t="inlineStr">
        <is>
          <t>https://twitter.com/GabiValenzuel</t>
        </is>
      </c>
      <c r="O65" t="inlineStr">
        <is>
          <t>https://www.instagram.com/gabivalenzuela.ok</t>
        </is>
      </c>
      <c r="P65" t="inlineStr">
        <is>
          <t>https://www.youtube.com/channel/UCvgbsNlq69OYs9jtNwwpH3g</t>
        </is>
      </c>
      <c r="Q65" s="12" t="inlineStr">
        <is>
          <t>Banca de la Mujer | De Ciencia y Tecnología | De Coparticipación Federal de Impuestos | De Industria y Comercio | De Seguridad Interior y Narcotráfico | De Trabajo y Previsión Social</t>
        </is>
      </c>
      <c r="R65" t="inlineStr">
        <is>
          <t>Afirmativo</t>
        </is>
      </c>
      <c r="S65" t="inlineStr">
        <is>
          <t>Afirmativo</t>
        </is>
      </c>
      <c r="U65" t="inlineStr">
        <is>
          <t>Afirmativo</t>
        </is>
      </c>
      <c r="V65" t="inlineStr">
        <is>
          <t>AFIRMATIVO</t>
        </is>
      </c>
      <c r="W65" t="inlineStr">
        <is>
          <t>Afirmativo</t>
        </is>
      </c>
      <c r="X65" t="inlineStr">
        <is>
          <t>AFIRMATIVO</t>
        </is>
      </c>
      <c r="AF65" s="17" t="inlineStr">
        <is>
          <t>AFIRMATIVO</t>
        </is>
      </c>
    </row>
    <row r="66" ht="15.75" customHeight="1" thickBot="1">
      <c r="A66">
        <f>_xlfn.CONCAT(C66," ",B66)</f>
        <v/>
      </c>
      <c r="B66" t="inlineStr">
        <is>
          <t>MARTIN IGNACIO</t>
        </is>
      </c>
      <c r="C66" t="inlineStr">
        <is>
          <t>SORIA</t>
        </is>
      </c>
      <c r="D66" t="inlineStr">
        <is>
          <t>JUSTICIALISTA</t>
        </is>
      </c>
      <c r="E66" t="inlineStr">
        <is>
          <t>RÍO NEGRO</t>
        </is>
      </c>
      <c r="F66" t="inlineStr">
        <is>
          <t>JUNTOS POR EL CAMBIO</t>
        </is>
      </c>
      <c r="G66" t="inlineStr">
        <is>
          <t>2021-12-10</t>
        </is>
      </c>
      <c r="H66" t="inlineStr">
        <is>
          <t>2027-12-09</t>
        </is>
      </c>
      <c r="I66" t="inlineStr">
        <is>
          <t>2021-12-10</t>
        </is>
      </c>
      <c r="J66" t="inlineStr">
        <is>
          <t>Sin Datos</t>
        </is>
      </c>
      <c r="K66" t="inlineStr">
        <is>
          <t>luis.juez@senado.gob.ar</t>
        </is>
      </c>
      <c r="L66" t="inlineStr">
        <is>
          <t>1374 /1375 / 1377 / 1378</t>
        </is>
      </c>
      <c r="M66" t="inlineStr">
        <is>
          <t>https://www.facebook.com/LuisAlfredoJuez</t>
        </is>
      </c>
      <c r="N66" t="inlineStr">
        <is>
          <t>https://twitter.com/ljuez</t>
        </is>
      </c>
      <c r="O66" t="inlineStr">
        <is>
          <t>https://www.instagram.com/luisalfredojuez</t>
        </is>
      </c>
      <c r="Q66" s="12" t="inlineStr">
        <is>
          <t>Bicameral de Control de los Fondos de la Seguridad Social (Ley 26.425) | De Ciencia y Tecnología | De Economía Nacional e Inversión | De Legislación General | De Seguridad Interior y Narcotráfico | De Sistemas, Medios de Comunicación y Libertad de Expresión</t>
        </is>
      </c>
      <c r="R66" t="inlineStr">
        <is>
          <t>Negativo</t>
        </is>
      </c>
      <c r="S66" t="inlineStr">
        <is>
          <t>Negativo</t>
        </is>
      </c>
      <c r="U66" t="inlineStr">
        <is>
          <t>Negativo</t>
        </is>
      </c>
      <c r="V66" t="inlineStr">
        <is>
          <t>NEGATIVO</t>
        </is>
      </c>
      <c r="W66" t="inlineStr">
        <is>
          <t>Negativo</t>
        </is>
      </c>
      <c r="X66" t="inlineStr">
        <is>
          <t>AFIRMATIVO</t>
        </is>
      </c>
      <c r="AF66" s="17" t="inlineStr">
        <is>
          <t>NEGATIVO</t>
        </is>
      </c>
    </row>
    <row r="67" ht="15.75" customHeight="1" thickBot="1">
      <c r="A67">
        <f>_xlfn.CONCAT(C67," ",B67)</f>
        <v/>
      </c>
      <c r="B67" t="inlineStr">
        <is>
          <t>RODOLFO ALEJANDRO</t>
        </is>
      </c>
      <c r="C67" t="inlineStr">
        <is>
          <t>SUÁREZ</t>
        </is>
      </c>
      <c r="D67" t="inlineStr">
        <is>
          <t>UCR - UNIÓN CÍVICA RADICAL</t>
        </is>
      </c>
      <c r="E67" t="inlineStr">
        <is>
          <t>MENDOZA</t>
        </is>
      </c>
      <c r="F67" t="inlineStr">
        <is>
          <t>HACEMOS POR CÓRDOBA</t>
        </is>
      </c>
      <c r="G67" t="inlineStr">
        <is>
          <t>2021-12-10</t>
        </is>
      </c>
      <c r="H67" t="inlineStr">
        <is>
          <t>2027-12-09</t>
        </is>
      </c>
      <c r="I67" t="inlineStr">
        <is>
          <t>2021-12-10</t>
        </is>
      </c>
      <c r="J67" t="inlineStr">
        <is>
          <t>Sin Datos</t>
        </is>
      </c>
      <c r="K67" t="inlineStr">
        <is>
          <t>alejandra.vigo@senado.gob.ar</t>
        </is>
      </c>
      <c r="L67" t="inlineStr">
        <is>
          <t>1441 / 1444 / 1456</t>
        </is>
      </c>
      <c r="M67" t="inlineStr">
        <is>
          <t>https://www.facebook.com/VigoAlejandra</t>
        </is>
      </c>
      <c r="N67" t="inlineStr">
        <is>
          <t>https://twitter.com/@alevigo</t>
        </is>
      </c>
      <c r="O67" t="inlineStr">
        <is>
          <t>https://www.instagram.com/@vigo_alejandra</t>
        </is>
      </c>
      <c r="Q67" s="12" t="inlineStr">
        <is>
          <t>Bicameral Permanente de Seguimiento y Control del Ministerio Público de la Nación (Ley 24.946 y Sus Modificatorias Ley 27.148 y 27.149) | De Asuntos Constitucionales | De Derechos y Garantías | De Economías Regionales, Economía Social, Micro, Pequeña y Mediana Empresa | De Legislación General | De Relaciones Exteriores y Culto | De Trabajo y Previsión Social</t>
        </is>
      </c>
      <c r="R67" t="inlineStr">
        <is>
          <t>Afirmativo</t>
        </is>
      </c>
      <c r="S67" t="inlineStr">
        <is>
          <t>Afirmativo</t>
        </is>
      </c>
      <c r="U67" t="inlineStr">
        <is>
          <t>Afirmativo</t>
        </is>
      </c>
      <c r="V67" t="inlineStr">
        <is>
          <t>AFIRMATIVO</t>
        </is>
      </c>
      <c r="W67" t="inlineStr">
        <is>
          <t>Afirmativo</t>
        </is>
      </c>
      <c r="X67" t="inlineStr">
        <is>
          <t>AFIRMATIVO</t>
        </is>
      </c>
      <c r="AF67" s="17" t="inlineStr">
        <is>
          <t>AUSENTE</t>
        </is>
      </c>
    </row>
    <row r="68" ht="15.75" customHeight="1" thickBot="1">
      <c r="A68">
        <f>_xlfn.CONCAT(C68," ",B68)</f>
        <v/>
      </c>
      <c r="B68" t="inlineStr">
        <is>
          <t>EDITH ELIZABETH</t>
        </is>
      </c>
      <c r="C68" t="inlineStr">
        <is>
          <t>TERENZI</t>
        </is>
      </c>
      <c r="D68" t="inlineStr">
        <is>
          <t>DESPIERTA CHUBUT</t>
        </is>
      </c>
      <c r="E68" t="inlineStr">
        <is>
          <t>CHUBUT</t>
        </is>
      </c>
      <c r="F68" t="inlineStr">
        <is>
          <t>FRENTE DE TODOS</t>
        </is>
      </c>
      <c r="G68" t="inlineStr">
        <is>
          <t>2021-12-10</t>
        </is>
      </c>
      <c r="H68" t="inlineStr">
        <is>
          <t>2027-12-09</t>
        </is>
      </c>
      <c r="I68" t="inlineStr">
        <is>
          <t>2021-12-10</t>
        </is>
      </c>
      <c r="J68" t="inlineStr">
        <is>
          <t>Sin Datos</t>
        </is>
      </c>
      <c r="K68" t="inlineStr">
        <is>
          <t>guillermo.andrada@senado.gob.ar</t>
        </is>
      </c>
      <c r="L68" t="n">
        <v>3567</v>
      </c>
      <c r="Q68" s="12" t="inlineStr">
        <is>
          <t>Bicameral Permanente de Fiscalización de los Órganos y Actividades de Seguridad Interior (Ley 24.059 y Sus Modificatorias Leyes 24.194 y 25.520) | Banca de la Mujer | De Agricultura, Ganadería y Pesca | De Asuntos Constitucionales | De Derechos y Garantías | De Salud</t>
        </is>
      </c>
      <c r="R68" t="inlineStr">
        <is>
          <t>Afirmativo</t>
        </is>
      </c>
      <c r="S68" t="inlineStr">
        <is>
          <t>Afirmativo</t>
        </is>
      </c>
      <c r="U68" t="inlineStr">
        <is>
          <t>Afirmativo</t>
        </is>
      </c>
      <c r="V68" t="inlineStr">
        <is>
          <t>NEGATIVO</t>
        </is>
      </c>
      <c r="W68" t="inlineStr">
        <is>
          <t>Afirmativo</t>
        </is>
      </c>
      <c r="X68" t="inlineStr">
        <is>
          <t>AFIRMATIVO</t>
        </is>
      </c>
      <c r="AF68" s="17" t="inlineStr">
        <is>
          <t>AFIRMATIVO</t>
        </is>
      </c>
    </row>
    <row r="69" ht="15.75" customHeight="1" thickBot="1">
      <c r="A69">
        <f>_xlfn.CONCAT(C69," ",B69)</f>
        <v/>
      </c>
      <c r="B69" t="inlineStr">
        <is>
          <t>SERGIO MAURICIO</t>
        </is>
      </c>
      <c r="C69" t="inlineStr">
        <is>
          <t>UÑAC</t>
        </is>
      </c>
      <c r="D69" t="inlineStr">
        <is>
          <t>JUSTICIALISTA</t>
        </is>
      </c>
      <c r="E69" t="inlineStr">
        <is>
          <t>SAN JUAN</t>
        </is>
      </c>
      <c r="F69" t="inlineStr">
        <is>
          <t>FRENTE CAMBIA MENDOZA</t>
        </is>
      </c>
      <c r="G69" t="inlineStr">
        <is>
          <t>2021-12-10</t>
        </is>
      </c>
      <c r="H69" t="inlineStr">
        <is>
          <t>2027-12-09</t>
        </is>
      </c>
      <c r="I69" t="inlineStr">
        <is>
          <t>2021-12-10</t>
        </is>
      </c>
      <c r="J69" t="inlineStr">
        <is>
          <t>Sin Datos</t>
        </is>
      </c>
      <c r="K69" t="inlineStr">
        <is>
          <t>mariana.juri@senado.gob.ar</t>
        </is>
      </c>
      <c r="L69" t="inlineStr">
        <is>
          <t>1450 / 1453</t>
        </is>
      </c>
      <c r="N69" t="inlineStr">
        <is>
          <t>https://twitter.com/mariana_juri</t>
        </is>
      </c>
      <c r="O69" t="inlineStr">
        <is>
          <t>https://www.instagram.com/marianajuri.ok</t>
        </is>
      </c>
      <c r="Q69" s="12" t="inlineStr">
        <is>
          <t>De Deporte | De Economías Regionales, Economía Social, Micro, Pequeña y Mediana Empresa</t>
        </is>
      </c>
      <c r="R69" t="inlineStr">
        <is>
          <t>Negativo</t>
        </is>
      </c>
      <c r="S69" t="inlineStr">
        <is>
          <t>Abstención</t>
        </is>
      </c>
      <c r="U69" t="inlineStr">
        <is>
          <t>Negativo</t>
        </is>
      </c>
      <c r="V69" t="inlineStr">
        <is>
          <t>AFIRMATIVO</t>
        </is>
      </c>
      <c r="W69" t="inlineStr">
        <is>
          <t>Negativo</t>
        </is>
      </c>
      <c r="X69" t="inlineStr">
        <is>
          <t>AFIRMATIVO</t>
        </is>
      </c>
      <c r="AF69" s="17" t="inlineStr">
        <is>
          <t>NEGATIVO</t>
        </is>
      </c>
    </row>
    <row r="70" ht="15.75" customHeight="1" thickBot="1">
      <c r="A70">
        <f>_xlfn.CONCAT(C70," ",B70)</f>
        <v/>
      </c>
      <c r="B70" t="inlineStr">
        <is>
          <t>MERCEDES GABRIELA</t>
        </is>
      </c>
      <c r="C70" t="inlineStr">
        <is>
          <t>VALENZUELA</t>
        </is>
      </c>
      <c r="D70" t="inlineStr">
        <is>
          <t>UCR - UNIÓN CÍVICA RADICAL</t>
        </is>
      </c>
      <c r="E70" t="inlineStr">
        <is>
          <t>CORRIENTES</t>
        </is>
      </c>
      <c r="F70" t="inlineStr">
        <is>
          <t>ECO + VAMOS CORRIENTES</t>
        </is>
      </c>
      <c r="G70" t="inlineStr">
        <is>
          <t>2021-12-10</t>
        </is>
      </c>
      <c r="H70" t="inlineStr">
        <is>
          <t>2027-12-09</t>
        </is>
      </c>
      <c r="I70" t="inlineStr">
        <is>
          <t>2021-12-10</t>
        </is>
      </c>
      <c r="J70" t="inlineStr">
        <is>
          <t>Sin Datos</t>
        </is>
      </c>
      <c r="K70" t="inlineStr">
        <is>
          <t>eduardo.vischi@senado.gob.ar</t>
        </is>
      </c>
      <c r="L70" t="inlineStr">
        <is>
          <t>3185 / 3188 / 3189</t>
        </is>
      </c>
      <c r="M70" t="inlineStr">
        <is>
          <t>https://www.facebook.com/PetecoVischi/</t>
        </is>
      </c>
      <c r="N70" t="inlineStr">
        <is>
          <t>https://twitter.com/PeteCoVischi</t>
        </is>
      </c>
      <c r="O70" t="inlineStr">
        <is>
          <t>https://www.instagram.com/petecovischi/</t>
        </is>
      </c>
      <c r="Q70" s="12" t="inlineStr">
        <is>
          <t>Bicameral Permanente del Defensor de los Derechos de Niñas, Niños y Adolescentes (Ley 26.061) | Banca de la Mujer | De Agricultura, Ganadería y Pesca | De Asuntos Administrativos y Municipales | De Economías Regionales, Economía Social, Micro, Pequeña y Mediana Empresa | De Educación y Cultura | De Industria y Comercio | De Población y Desarrollo Humano | De Presupuesto y Hacienda | De Salud | De Turismo</t>
        </is>
      </c>
      <c r="R70" t="inlineStr">
        <is>
          <t>Afirmativo</t>
        </is>
      </c>
      <c r="S70" t="inlineStr">
        <is>
          <t>Afirmativo</t>
        </is>
      </c>
      <c r="U70" t="inlineStr">
        <is>
          <t>Afirmativo</t>
        </is>
      </c>
      <c r="V70" t="inlineStr">
        <is>
          <t>AFIRMATIVO</t>
        </is>
      </c>
      <c r="W70" t="inlineStr">
        <is>
          <t>Afirmativo</t>
        </is>
      </c>
      <c r="X70" t="inlineStr">
        <is>
          <t>AFIRMATIVO</t>
        </is>
      </c>
      <c r="AF70" s="17" t="inlineStr">
        <is>
          <t>AFIRMATIVO</t>
        </is>
      </c>
    </row>
    <row r="71" ht="15.75" customHeight="1" thickBot="1">
      <c r="A71">
        <f>_xlfn.CONCAT(C71," ",B71)</f>
        <v/>
      </c>
      <c r="B71" t="inlineStr">
        <is>
          <t>ALEJANDRA MARÍA</t>
        </is>
      </c>
      <c r="C71" t="inlineStr">
        <is>
          <t>VIGO</t>
        </is>
      </c>
      <c r="D71" t="inlineStr">
        <is>
          <t>PROVINCIAS UNIDAS</t>
        </is>
      </c>
      <c r="E71" t="inlineStr">
        <is>
          <t>CÓRDOBA</t>
        </is>
      </c>
      <c r="F71" t="inlineStr">
        <is>
          <t>PRIMERO LOS SALTEÑOS</t>
        </is>
      </c>
      <c r="G71" t="inlineStr">
        <is>
          <t>2025-12-10</t>
        </is>
      </c>
      <c r="H71" t="inlineStr">
        <is>
          <t>2031-12-09</t>
        </is>
      </c>
      <c r="I71" t="inlineStr">
        <is>
          <t>2025-12-10</t>
        </is>
      </c>
      <c r="J71" t="inlineStr">
        <is>
          <t>Sin Datos</t>
        </is>
      </c>
      <c r="K71" t="inlineStr">
        <is>
          <t>flavia.royon@senado.gob.ar</t>
        </is>
      </c>
      <c r="Q71" s="12" t="inlineStr">
        <is>
          <t>Banca de la Mujer | De Acuerdos | De Asuntos Constitucionales | De Coparticipación Federal de Impuestos | De Industria y Comercio | De Infraestructura, Vivienda y Transporte | De Presupuesto y Hacienda | De Turismo</t>
        </is>
      </c>
      <c r="R71" t="inlineStr">
        <is>
          <t>Abstención</t>
        </is>
      </c>
      <c r="S71" t="inlineStr">
        <is>
          <t>Abstención</t>
        </is>
      </c>
      <c r="U71" t="inlineStr">
        <is>
          <t>Afirmativo</t>
        </is>
      </c>
      <c r="V71" t="inlineStr">
        <is>
          <t>NEGATIVO</t>
        </is>
      </c>
      <c r="W71" t="inlineStr">
        <is>
          <t>Abstención</t>
        </is>
      </c>
      <c r="X71" t="inlineStr">
        <is>
          <t>AFIRMATIVO</t>
        </is>
      </c>
      <c r="AF71" s="17" t="inlineStr">
        <is>
          <t>AUSENTE</t>
        </is>
      </c>
    </row>
    <row r="72" ht="15.75" customHeight="1" thickBot="1">
      <c r="A72">
        <f>_xlfn.CONCAT(C72," ",B72)</f>
        <v/>
      </c>
      <c r="B72" t="inlineStr">
        <is>
          <t>EDUARDO ALEJANDRO</t>
        </is>
      </c>
      <c r="C72" t="inlineStr">
        <is>
          <t>VISCHI</t>
        </is>
      </c>
      <c r="D72" t="inlineStr">
        <is>
          <t>UCR - UNIÓN CÍVICA RADICAL</t>
        </is>
      </c>
      <c r="E72" t="inlineStr">
        <is>
          <t>CORRIENTES</t>
        </is>
      </c>
      <c r="F72" t="inlineStr">
        <is>
          <t>FRENTE CÍVICO POR SANTIAGO</t>
        </is>
      </c>
      <c r="G72" t="inlineStr">
        <is>
          <t>2025-12-10</t>
        </is>
      </c>
      <c r="H72" t="inlineStr">
        <is>
          <t>2031-12-09</t>
        </is>
      </c>
      <c r="I72" t="inlineStr">
        <is>
          <t>2025-12-10</t>
        </is>
      </c>
      <c r="J72" t="inlineStr">
        <is>
          <t>Sin Datos</t>
        </is>
      </c>
      <c r="K72" t="inlineStr">
        <is>
          <t>gerardo.zamora@senado.gob.ar</t>
        </is>
      </c>
      <c r="N72" t="inlineStr">
        <is>
          <t>https://twitter.com/GZamoraSDE</t>
        </is>
      </c>
      <c r="Q72" s="12" t="inlineStr">
        <is>
          <t>Bicameral de Reforma del Estado y del Seguimiento de las Privatizaciones (Ley 23.696) | De Acuerdos | De Ambiente y Desarrollo Sustentable | De Asuntos Constitucionales | De Coparticipación Federal de Impuestos | De Defensa Nacional | De Justicia y Asuntos Penales | De Presupuesto y Hacienda | De Relaciones Exteriores y Culto | De Trabajo y Previsión Social</t>
        </is>
      </c>
      <c r="R72" t="inlineStr">
        <is>
          <t>Afirmativo</t>
        </is>
      </c>
      <c r="S72" t="inlineStr">
        <is>
          <t>Afirmativo</t>
        </is>
      </c>
      <c r="U72" t="inlineStr">
        <is>
          <t>Afirmativo</t>
        </is>
      </c>
      <c r="V72" t="inlineStr">
        <is>
          <t>AFIRMATIVO</t>
        </is>
      </c>
      <c r="W72" t="inlineStr">
        <is>
          <t>Afirmativo</t>
        </is>
      </c>
      <c r="X72" t="inlineStr">
        <is>
          <t>AFIRMATIVO</t>
        </is>
      </c>
      <c r="AF72" s="17" t="inlineStr">
        <is>
          <t>AFIRMATIVO</t>
        </is>
      </c>
    </row>
    <row r="73" ht="15.75" customHeight="1" thickBot="1">
      <c r="A73">
        <f>_xlfn.CONCAT(C73," ",B73)</f>
        <v/>
      </c>
      <c r="B73" t="inlineStr">
        <is>
          <t>GERARDO</t>
        </is>
      </c>
      <c r="C73" t="inlineStr">
        <is>
          <t>ZAMORA</t>
        </is>
      </c>
      <c r="D73" t="inlineStr">
        <is>
          <t>FRENTE CÍVICO POR SANTIAGO</t>
        </is>
      </c>
      <c r="E73" t="inlineStr">
        <is>
          <t>SANTIAGO DEL ESTERO</t>
        </is>
      </c>
      <c r="F73" t="inlineStr">
        <is>
          <t>PARTIDO RENOVADOR FEDERAL</t>
        </is>
      </c>
      <c r="G73" t="inlineStr">
        <is>
          <t>2023-12-10</t>
        </is>
      </c>
      <c r="H73" t="inlineStr">
        <is>
          <t>2029-12-09</t>
        </is>
      </c>
      <c r="I73" t="inlineStr">
        <is>
          <t>2023-12-10</t>
        </is>
      </c>
      <c r="J73" t="inlineStr">
        <is>
          <t>Sin Datos</t>
        </is>
      </c>
      <c r="K73" t="inlineStr">
        <is>
          <t>ezequiel.atauche@senado.gob.ar</t>
        </is>
      </c>
      <c r="L73" t="n">
        <v>8083</v>
      </c>
      <c r="M73" t="inlineStr">
        <is>
          <t>https://www.facebook.com/Ezequiel.Atauche</t>
        </is>
      </c>
      <c r="N73" t="inlineStr">
        <is>
          <t>https://twitter.com/ezeatauche</t>
        </is>
      </c>
      <c r="O73" t="inlineStr">
        <is>
          <t>https://www.instagram.com/ezeatauche</t>
        </is>
      </c>
      <c r="P73" t="inlineStr">
        <is>
          <t>https://www.youtube.com/@EzequielAtauche</t>
        </is>
      </c>
      <c r="Q73" s="12" t="inlineStr">
        <is>
          <t>De Asuntos Administrativos y Municipales | De Coparticipación Federal de Impuestos | De Defensa Nacional | De Economías Regionales, Economía Social, Micro, Pequeña y Mediana Empresa | De Infraestructura, Vivienda y Transporte | De Turismo</t>
        </is>
      </c>
      <c r="R73" t="inlineStr">
        <is>
          <t>Negativo</t>
        </is>
      </c>
      <c r="S73" t="inlineStr">
        <is>
          <t>Negativo</t>
        </is>
      </c>
      <c r="U73" t="inlineStr">
        <is>
          <t>Negativo</t>
        </is>
      </c>
      <c r="V73" t="inlineStr">
        <is>
          <t>NEGATIVO</t>
        </is>
      </c>
      <c r="W73" t="inlineStr">
        <is>
          <t>Negativo</t>
        </is>
      </c>
      <c r="X73" t="inlineStr">
        <is>
          <t>AFIRMATIVO</t>
        </is>
      </c>
      <c r="AF73" s="17" t="inlineStr">
        <is>
          <t>NEGATIVO</t>
        </is>
      </c>
    </row>
  </sheetData>
  <autoFilter ref="A1:AA73"/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B14"/>
  <sheetViews>
    <sheetView workbookViewId="0">
      <selection activeCell="E12" sqref="E12"/>
    </sheetView>
  </sheetViews>
  <sheetFormatPr baseColWidth="10" defaultRowHeight="15"/>
  <sheetData>
    <row r="2">
      <c r="A2" t="inlineStr">
        <is>
          <t>BLOQUE</t>
        </is>
      </c>
    </row>
    <row r="3" ht="16.5" customHeight="1">
      <c r="A3" s="8" t="inlineStr">
        <is>
          <t>UCR - UNIÓN CÍVICA RADICAL</t>
        </is>
      </c>
      <c r="B3">
        <f>COUNTIF(Senado!D:D,APOYO!A3)</f>
        <v/>
      </c>
    </row>
    <row r="4" ht="16.5" customHeight="1">
      <c r="A4" s="8" t="inlineStr">
        <is>
          <t>LA LIBERTAD AVANZA</t>
        </is>
      </c>
      <c r="B4">
        <f>COUNTIF(Senado!D:D,APOYO!A4)</f>
        <v/>
      </c>
    </row>
    <row r="5" ht="16.5" customHeight="1">
      <c r="A5" s="8" t="inlineStr">
        <is>
          <t>CONVICCIÓN FEDERAL</t>
        </is>
      </c>
      <c r="B5">
        <f>COUNTIF(Senado!D:D,APOYO!A5)</f>
        <v/>
      </c>
    </row>
    <row r="6" ht="16.5" customHeight="1">
      <c r="A6" s="8" t="inlineStr">
        <is>
          <t>FRENTE RENOVADOR DE LA CONCORDIA SOCIAL</t>
        </is>
      </c>
      <c r="B6">
        <f>COUNTIF(Senado!D:D,APOYO!A6)</f>
        <v/>
      </c>
    </row>
    <row r="7" ht="16.5" customHeight="1">
      <c r="A7" s="8" t="inlineStr">
        <is>
          <t>INDEPENDENCIA</t>
        </is>
      </c>
      <c r="B7">
        <f>COUNTIF(Senado!D:D,APOYO!A7)</f>
        <v/>
      </c>
    </row>
    <row r="8" ht="16.5" customHeight="1">
      <c r="A8" s="8" t="inlineStr">
        <is>
          <t>JUSTICIALISTA</t>
        </is>
      </c>
      <c r="B8">
        <f>COUNTIF(Senado!D:D,APOYO!A8)</f>
        <v/>
      </c>
    </row>
    <row r="9" ht="16.5" customHeight="1">
      <c r="A9" s="8" t="inlineStr">
        <is>
          <t>MOVERE POR SANTA CRUZ</t>
        </is>
      </c>
      <c r="B9">
        <f>COUNTIF(Senado!D:D,APOYO!A9)</f>
        <v/>
      </c>
    </row>
    <row r="10" ht="16.5" customHeight="1">
      <c r="A10" s="8" t="inlineStr">
        <is>
          <t>LA NEUQUINIDAD</t>
        </is>
      </c>
      <c r="B10">
        <f>COUNTIF(Senado!D:D,APOYO!A10)</f>
        <v/>
      </c>
    </row>
    <row r="11" ht="16.5" customHeight="1">
      <c r="A11" s="8" t="inlineStr">
        <is>
          <t>FRENTE PRO</t>
        </is>
      </c>
      <c r="B11">
        <f>COUNTIF(Senado!D:D,APOYO!A11)</f>
        <v/>
      </c>
    </row>
    <row r="12" ht="16.5" customHeight="1">
      <c r="A12" s="8" t="inlineStr">
        <is>
          <t>PROVINCIAS UNIDAS</t>
        </is>
      </c>
      <c r="B12">
        <f>COUNTIF(Senado!D:D,APOYO!A12)</f>
        <v/>
      </c>
    </row>
    <row r="13" ht="16.5" customHeight="1">
      <c r="A13" s="8" t="inlineStr">
        <is>
          <t>PRIMERO LOS SALTEÑOS</t>
        </is>
      </c>
      <c r="B13">
        <f>COUNTIF(Senado!D:D,APOYO!A13)</f>
        <v/>
      </c>
    </row>
    <row r="14" ht="16.5" customHeight="1">
      <c r="A14" s="8" t="inlineStr">
        <is>
          <t>DESPIERTA CHUBUT</t>
        </is>
      </c>
      <c r="B14">
        <f>COUNTIF(Senado!D:D,APOYO!A14)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Franco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2026-09-06T01:03:42Z</dcterms:modified>
  <cp:lastModifiedBy>franco1 marconi</cp:lastModifiedBy>
</cp:coreProperties>
</file>